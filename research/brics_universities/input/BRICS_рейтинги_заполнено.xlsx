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и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'Рейтинги'!$A$1:$P$1231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6" customWidth="1" min="4" max="4"/>
    <col width="28" customWidth="1" min="5" max="5"/>
    <col width="30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22" customWidth="1" min="13" max="13"/>
    <col width="14" customWidth="1" min="14" max="14"/>
    <col width="40" customWidth="1" min="15" max="15"/>
    <col width="40" customWidth="1" min="16" max="16"/>
  </cols>
  <sheetData>
    <row r="1">
      <c r="A1" s="1" t="inlineStr">
        <is>
          <t>Ключ</t>
        </is>
      </c>
      <c r="B1" s="1" t="inlineStr">
        <is>
          <t>Страна</t>
        </is>
      </c>
      <c r="C1" s="1" t="inlineStr">
        <is>
          <t>Город</t>
        </is>
      </c>
      <c r="D1" s="1" t="inlineStr">
        <is>
          <t>Вуз (EN)</t>
        </is>
      </c>
      <c r="E1" s="1" t="inlineStr">
        <is>
          <t>Вуз (родное)</t>
        </is>
      </c>
      <c r="F1" s="1" t="inlineStr">
        <is>
          <t>Сайт</t>
        </is>
      </c>
      <c r="G1" s="1" t="inlineStr">
        <is>
          <t>QS сейчас</t>
        </is>
      </c>
      <c r="H1" s="1" t="inlineStr">
        <is>
          <t>THE сейчас</t>
        </is>
      </c>
      <c r="I1" s="1" t="inlineStr">
        <is>
          <t>Нац. сейчас</t>
        </is>
      </c>
      <c r="J1" s="2" t="inlineStr">
        <is>
          <t>QS 2027 (место/диапазон)</t>
        </is>
      </c>
      <c r="K1" s="2" t="inlineStr">
        <is>
          <t>THE 2027 (место/диапазон)</t>
        </is>
      </c>
      <c r="L1" s="2" t="inlineStr">
        <is>
          <t>Webometrics (мир, место)</t>
        </is>
      </c>
      <c r="M1" s="2" t="inlineStr">
        <is>
          <t>Нац. рейтинг: название</t>
        </is>
      </c>
      <c r="N1" s="2" t="inlineStr">
        <is>
          <t>Нац. рейтинг: место</t>
        </is>
      </c>
      <c r="O1" s="2" t="inlineStr">
        <is>
          <t>Источник (URL)</t>
        </is>
      </c>
      <c r="P1" s="2" t="inlineStr">
        <is>
          <t>Комментарий</t>
        </is>
      </c>
    </row>
    <row r="2">
      <c r="A2" s="3" t="inlineStr">
        <is>
          <t>Belarus|Baranovichi State University (BarSU)</t>
        </is>
      </c>
      <c r="B2" s="3" t="inlineStr">
        <is>
          <t>Belarus</t>
        </is>
      </c>
      <c r="C2" s="3" t="inlineStr">
        <is>
          <t>Барановичи</t>
        </is>
      </c>
      <c r="D2" s="3" t="inlineStr">
        <is>
          <t>Baranovichi State University (BarSU)</t>
        </is>
      </c>
      <c r="E2" s="3" t="inlineStr">
        <is>
          <t>Учреждение образования «Барановичский государственный университет» (БарГУ)</t>
        </is>
      </c>
      <c r="F2" s="3" t="inlineStr">
        <is>
          <t>https://barsu.by</t>
        </is>
      </c>
      <c r="G2" s="3" t="inlineStr"/>
      <c r="H2" s="3" t="inlineStr"/>
      <c r="I2" s="3" t="inlineStr"/>
      <c r="J2" s="4" t="inlineStr">
        <is>
          <t>не в рейтинге</t>
        </is>
      </c>
      <c r="K2" s="4" t="inlineStr">
        <is>
          <t>не в рейтинге</t>
        </is>
      </c>
      <c r="L2" s="4" t="inlineStr">
        <is>
          <t>нет в опубл. списке (опубликован только топ-15 страны)</t>
        </is>
      </c>
      <c r="M2" s="4" t="inlineStr">
        <is>
          <t>нет общенационального рейтинга</t>
        </is>
      </c>
      <c r="N2" s="4" t="inlineStr">
        <is>
          <t>—</t>
        </is>
      </c>
      <c r="O2" s="4" t="n"/>
      <c r="P2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3">
      <c r="A3" s="3" t="inlineStr">
        <is>
          <t>Belarus|Belarusian National Technical University (BNTU)</t>
        </is>
      </c>
      <c r="B3" s="3" t="inlineStr">
        <is>
          <t>Belarus</t>
        </is>
      </c>
      <c r="C3" s="3" t="inlineStr">
        <is>
          <t>Минск</t>
        </is>
      </c>
      <c r="D3" s="3" t="inlineStr">
        <is>
          <t>Belarusian National Technical University (BNTU)</t>
        </is>
      </c>
      <c r="E3" s="3" t="inlineStr">
        <is>
          <t>Белорусский национальный технический университет (БНТУ)</t>
        </is>
      </c>
      <c r="F3" s="3" t="inlineStr">
        <is>
          <t>https://bntu.by</t>
        </is>
      </c>
      <c r="G3" s="3" t="inlineStr">
        <is>
          <t>QS2027: 901-950</t>
        </is>
      </c>
      <c r="H3" s="3" t="inlineStr"/>
      <c r="I3" s="3" t="inlineStr"/>
      <c r="J3" s="4" t="inlineStr">
        <is>
          <t>901–950</t>
        </is>
      </c>
      <c r="K3" s="4" t="inlineStr">
        <is>
          <t>не в рейтинге</t>
        </is>
      </c>
      <c r="L3" s="4" t="inlineStr">
        <is>
          <t>4995</t>
        </is>
      </c>
      <c r="M3" s="4" t="inlineStr">
        <is>
          <t>нет общенационального рейтинга</t>
        </is>
      </c>
      <c r="N3" s="4" t="inlineStr">
        <is>
          <t>—</t>
        </is>
      </c>
      <c r="O3" s="4" t="inlineStr">
        <is>
          <t>https://www.topuniversities.com/world-university-rankings (QS WUR 2027)
https://figshare.com/articles/preprint/Ranking_Web_of_Universities_webometrics_info_July_2026_edition/33062150</t>
        </is>
      </c>
      <c r="P3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4">
      <c r="A4" s="3" t="inlineStr">
        <is>
          <t>Belarus|Belarusian State Academy of Aviation (BSAA)</t>
        </is>
      </c>
      <c r="B4" s="3" t="inlineStr">
        <is>
          <t>Belarus</t>
        </is>
      </c>
      <c r="C4" s="3" t="inlineStr">
        <is>
          <t>Минск</t>
        </is>
      </c>
      <c r="D4" s="3" t="inlineStr">
        <is>
          <t>Belarusian State Academy of Aviation (BSAA)</t>
        </is>
      </c>
      <c r="E4" s="3" t="inlineStr">
        <is>
          <t>Учреждение образования «Белорусская государственная академия авиации» (БГАА)</t>
        </is>
      </c>
      <c r="F4" s="3" t="inlineStr">
        <is>
          <t>https://www.bgaa.by</t>
        </is>
      </c>
      <c r="G4" s="3" t="inlineStr"/>
      <c r="H4" s="3" t="inlineStr"/>
      <c r="I4" s="3" t="inlineStr"/>
      <c r="J4" s="4" t="inlineStr">
        <is>
          <t>не в рейтинге</t>
        </is>
      </c>
      <c r="K4" s="4" t="inlineStr">
        <is>
          <t>не в рейтинге</t>
        </is>
      </c>
      <c r="L4" s="4" t="inlineStr">
        <is>
          <t>нет в опубл. списке (опубликован только топ-15 страны)</t>
        </is>
      </c>
      <c r="M4" s="4" t="inlineStr">
        <is>
          <t>нет общенационального рейтинга</t>
        </is>
      </c>
      <c r="N4" s="4" t="inlineStr">
        <is>
          <t>—</t>
        </is>
      </c>
      <c r="O4" s="4" t="n"/>
      <c r="P4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5">
      <c r="A5" s="3" t="inlineStr">
        <is>
          <t>Belarus|Belarusian State Academy of Music (BSAM)</t>
        </is>
      </c>
      <c r="B5" s="3" t="inlineStr">
        <is>
          <t>Belarus</t>
        </is>
      </c>
      <c r="C5" s="3" t="inlineStr">
        <is>
          <t>Минск</t>
        </is>
      </c>
      <c r="D5" s="3" t="inlineStr">
        <is>
          <t>Belarusian State Academy of Music (BSAM)</t>
        </is>
      </c>
      <c r="E5" s="3" t="inlineStr">
        <is>
          <t>Учреждение образования «Белорусская государственная академия музыки» (БГАМ)</t>
        </is>
      </c>
      <c r="F5" s="3" t="inlineStr">
        <is>
          <t>https://bgam.by</t>
        </is>
      </c>
      <c r="G5" s="3" t="inlineStr"/>
      <c r="H5" s="3" t="inlineStr"/>
      <c r="I5" s="3" t="inlineStr"/>
      <c r="J5" s="4" t="inlineStr">
        <is>
          <t>не в рейтинге</t>
        </is>
      </c>
      <c r="K5" s="4" t="inlineStr">
        <is>
          <t>не в рейтинге</t>
        </is>
      </c>
      <c r="L5" s="4" t="inlineStr">
        <is>
          <t>нет в опубл. списке (опубликован только топ-15 страны)</t>
        </is>
      </c>
      <c r="M5" s="4" t="inlineStr">
        <is>
          <t>нет общенационального рейтинга</t>
        </is>
      </c>
      <c r="N5" s="4" t="inlineStr">
        <is>
          <t>—</t>
        </is>
      </c>
      <c r="O5" s="4" t="n"/>
      <c r="P5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6">
      <c r="A6" s="3" t="inlineStr">
        <is>
          <t>Belarus|Belarusian State Agrarian Technical University (BSATU)</t>
        </is>
      </c>
      <c r="B6" s="3" t="inlineStr">
        <is>
          <t>Belarus</t>
        </is>
      </c>
      <c r="C6" s="3" t="inlineStr">
        <is>
          <t>Минск</t>
        </is>
      </c>
      <c r="D6" s="3" t="inlineStr">
        <is>
          <t>Belarusian State Agrarian Technical University (BSATU)</t>
        </is>
      </c>
      <c r="E6" s="3" t="inlineStr">
        <is>
          <t>Белорусский государственный аграрный технический университет (БГАТУ)</t>
        </is>
      </c>
      <c r="F6" s="3" t="inlineStr">
        <is>
          <t>https://bsatu.by</t>
        </is>
      </c>
      <c r="G6" s="3" t="inlineStr"/>
      <c r="H6" s="3" t="inlineStr"/>
      <c r="I6" s="3" t="inlineStr"/>
      <c r="J6" s="4" t="inlineStr">
        <is>
          <t>не в рейтинге</t>
        </is>
      </c>
      <c r="K6" s="4" t="inlineStr">
        <is>
          <t>не в рейтинге</t>
        </is>
      </c>
      <c r="L6" s="4" t="inlineStr">
        <is>
          <t>нет в опубл. списке (опубликован только топ-15 страны)</t>
        </is>
      </c>
      <c r="M6" s="4" t="inlineStr">
        <is>
          <t>нет общенационального рейтинга</t>
        </is>
      </c>
      <c r="N6" s="4" t="inlineStr">
        <is>
          <t>—</t>
        </is>
      </c>
      <c r="O6" s="4" t="n"/>
      <c r="P6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7">
      <c r="A7" s="3" t="inlineStr">
        <is>
          <t>Belarus|Belarusian State Agricultural Academy (BSAA)</t>
        </is>
      </c>
      <c r="B7" s="3" t="inlineStr">
        <is>
          <t>Belarus</t>
        </is>
      </c>
      <c r="C7" s="3" t="inlineStr">
        <is>
          <t>Горки</t>
        </is>
      </c>
      <c r="D7" s="3" t="inlineStr">
        <is>
          <t>Belarusian State Agricultural Academy (BSAA)</t>
        </is>
      </c>
      <c r="E7" s="3" t="inlineStr">
        <is>
          <t>Белорусская государственная сельскохозяйственная академия (БГСХА)</t>
        </is>
      </c>
      <c r="F7" s="3" t="inlineStr">
        <is>
          <t>https://baa.by</t>
        </is>
      </c>
      <c r="G7" s="3" t="inlineStr"/>
      <c r="H7" s="3" t="inlineStr"/>
      <c r="I7" s="3" t="inlineStr"/>
      <c r="J7" s="4" t="inlineStr">
        <is>
          <t>не в рейтинге</t>
        </is>
      </c>
      <c r="K7" s="4" t="inlineStr">
        <is>
          <t>не в рейтинге</t>
        </is>
      </c>
      <c r="L7" s="4" t="inlineStr">
        <is>
          <t>нет в опубл. списке (опубликован только топ-15 страны)</t>
        </is>
      </c>
      <c r="M7" s="4" t="inlineStr">
        <is>
          <t>нет общенационального рейтинга</t>
        </is>
      </c>
      <c r="N7" s="4" t="inlineStr">
        <is>
          <t>—</t>
        </is>
      </c>
      <c r="O7" s="4" t="n"/>
      <c r="P7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8">
      <c r="A8" s="3" t="inlineStr">
        <is>
          <t>Belarus|Belarusian State Economic University (BSEU)</t>
        </is>
      </c>
      <c r="B8" s="3" t="inlineStr">
        <is>
          <t>Belarus</t>
        </is>
      </c>
      <c r="C8" s="3" t="inlineStr">
        <is>
          <t>Минск</t>
        </is>
      </c>
      <c r="D8" s="3" t="inlineStr">
        <is>
          <t>Belarusian State Economic University (BSEU)</t>
        </is>
      </c>
      <c r="E8" s="3" t="inlineStr">
        <is>
          <t>Белорусский государственный экономический университет (БГЭУ)</t>
        </is>
      </c>
      <c r="F8" s="3" t="inlineStr">
        <is>
          <t>https://bseu.by</t>
        </is>
      </c>
      <c r="G8" s="3" t="inlineStr"/>
      <c r="H8" s="3" t="inlineStr"/>
      <c r="I8" s="3" t="inlineStr"/>
      <c r="J8" s="4" t="inlineStr">
        <is>
          <t>не в рейтинге</t>
        </is>
      </c>
      <c r="K8" s="4" t="inlineStr">
        <is>
          <t>не в рейтинге</t>
        </is>
      </c>
      <c r="L8" s="4" t="inlineStr">
        <is>
          <t>нет в опубл. списке (опубликован только топ-15 страны)</t>
        </is>
      </c>
      <c r="M8" s="4" t="inlineStr">
        <is>
          <t>нет общенационального рейтинга</t>
        </is>
      </c>
      <c r="N8" s="4" t="inlineStr">
        <is>
          <t>—</t>
        </is>
      </c>
      <c r="O8" s="4" t="n"/>
      <c r="P8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9">
      <c r="A9" s="3" t="inlineStr">
        <is>
          <t>Belarus|Belarusian State Pedagogical University named after Maxim Tank (BSPU)</t>
        </is>
      </c>
      <c r="B9" s="3" t="inlineStr">
        <is>
          <t>Belarus</t>
        </is>
      </c>
      <c r="C9" s="3" t="inlineStr">
        <is>
          <t>Минск</t>
        </is>
      </c>
      <c r="D9" s="3" t="inlineStr">
        <is>
          <t>Belarusian State Pedagogical University named after Maxim Tank (BSPU)</t>
        </is>
      </c>
      <c r="E9" s="3" t="inlineStr">
        <is>
          <t>Белорусский государственный педагогический университет имени Максима Танка (БГПУ)</t>
        </is>
      </c>
      <c r="F9" s="3" t="inlineStr">
        <is>
          <t>https://bspu.by</t>
        </is>
      </c>
      <c r="G9" s="3" t="inlineStr"/>
      <c r="H9" s="3" t="inlineStr"/>
      <c r="I9" s="3" t="inlineStr"/>
      <c r="J9" s="4" t="inlineStr">
        <is>
          <t>не в рейтинге</t>
        </is>
      </c>
      <c r="K9" s="4" t="inlineStr">
        <is>
          <t>не в рейтинге</t>
        </is>
      </c>
      <c r="L9" s="4" t="inlineStr">
        <is>
          <t>нет в опубл. списке (опубликован только топ-15 страны)</t>
        </is>
      </c>
      <c r="M9" s="4" t="inlineStr">
        <is>
          <t>нет общенационального рейтинга</t>
        </is>
      </c>
      <c r="N9" s="4" t="inlineStr">
        <is>
          <t>—</t>
        </is>
      </c>
      <c r="O9" s="4" t="n"/>
      <c r="P9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0">
      <c r="A10" s="3" t="inlineStr">
        <is>
          <t>Belarus|Belarusian State Technological University (BSTU)</t>
        </is>
      </c>
      <c r="B10" s="3" t="inlineStr">
        <is>
          <t>Belarus</t>
        </is>
      </c>
      <c r="C10" s="3" t="inlineStr">
        <is>
          <t>Минск</t>
        </is>
      </c>
      <c r="D10" s="3" t="inlineStr">
        <is>
          <t>Belarusian State Technological University (BSTU)</t>
        </is>
      </c>
      <c r="E10" s="3" t="inlineStr">
        <is>
          <t>Белорусский государственный технологический университет (БГТУ)</t>
        </is>
      </c>
      <c r="F10" s="3" t="inlineStr">
        <is>
          <t>https://belstu.by</t>
        </is>
      </c>
      <c r="G10" s="3" t="inlineStr"/>
      <c r="H10" s="3" t="inlineStr"/>
      <c r="I10" s="3" t="inlineStr"/>
      <c r="J10" s="4" t="inlineStr">
        <is>
          <t>не в рейтинге</t>
        </is>
      </c>
      <c r="K10" s="4" t="inlineStr">
        <is>
          <t>не в рейтинге</t>
        </is>
      </c>
      <c r="L10" s="4" t="inlineStr">
        <is>
          <t>5864</t>
        </is>
      </c>
      <c r="M10" s="4" t="inlineStr">
        <is>
          <t>нет общенационального рейтинга</t>
        </is>
      </c>
      <c r="N10" s="4" t="inlineStr">
        <is>
          <t>—</t>
        </is>
      </c>
      <c r="O10" s="4" t="inlineStr">
        <is>
          <t>https://figshare.com/articles/preprint/Ranking_Web_of_Universities_webometrics_info_July_2026_edition/33062150</t>
        </is>
      </c>
      <c r="P10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1">
      <c r="A11" s="3" t="inlineStr">
        <is>
          <t>Belarus|Belarusian State University</t>
        </is>
      </c>
      <c r="B11" s="3" t="inlineStr">
        <is>
          <t>Belarus</t>
        </is>
      </c>
      <c r="C11" s="3" t="inlineStr">
        <is>
          <t>Минск</t>
        </is>
      </c>
      <c r="D11" s="3" t="inlineStr">
        <is>
          <t>Belarusian State University</t>
        </is>
      </c>
      <c r="E11" s="3" t="inlineStr">
        <is>
          <t>Белорусский государственный университет (БГУ)</t>
        </is>
      </c>
      <c r="F11" s="3" t="inlineStr">
        <is>
          <t>https://bsu.by</t>
        </is>
      </c>
      <c r="G11" s="3" t="inlineStr">
        <is>
          <t>QS2027: 533</t>
        </is>
      </c>
      <c r="H11" s="3" t="inlineStr">
        <is>
          <t>THE2027: 2001+</t>
        </is>
      </c>
      <c r="I11" s="3" t="inlineStr"/>
      <c r="J11" s="4">
        <f>533</f>
        <v/>
      </c>
      <c r="K11" s="4" t="inlineStr">
        <is>
          <t>2001+</t>
        </is>
      </c>
      <c r="L11" s="4" t="inlineStr">
        <is>
          <t>нет в опубл. списке (опубликован только топ-15 страны)</t>
        </is>
      </c>
      <c r="M11" s="4" t="inlineStr">
        <is>
          <t>нет общенационального рейтинга</t>
        </is>
      </c>
      <c r="N11" s="4" t="inlineStr">
        <is>
          <t>—</t>
        </is>
      </c>
      <c r="O11" s="4" t="inlineStr">
        <is>
          <t>https://www.topuniversities.com/world-university-rankings (QS WUR 2027)
https://www.timeshighereducation.com/world-university-rankings/2027/world-ranking</t>
        </is>
      </c>
      <c r="P11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2">
      <c r="A12" s="3" t="inlineStr">
        <is>
          <t>Belarus|Belarusian State University of Food and Chemical Technologies (BSUFCT; formerly Mogilev State University of Food Technologies)</t>
        </is>
      </c>
      <c r="B12" s="3" t="inlineStr">
        <is>
          <t>Belarus</t>
        </is>
      </c>
      <c r="C12" s="3" t="inlineStr">
        <is>
          <t>Могилёв</t>
        </is>
      </c>
      <c r="D12" s="3" t="inlineStr">
        <is>
          <t>Belarusian State University of Food and Chemical Technologies (BSUFCT; formerly Mogilev State University of Food Technologies)</t>
        </is>
      </c>
      <c r="E12" s="3" t="inlineStr">
        <is>
          <t>Учреждение образования «Белорусский государственный университет пищевых и химических технологий» (БГУТ; до 2021 г. — Могилевский государственный университет продовольствия)</t>
        </is>
      </c>
      <c r="F12" s="3" t="inlineStr">
        <is>
          <t>https://www.bgut.by</t>
        </is>
      </c>
      <c r="G12" s="3" t="inlineStr"/>
      <c r="H12" s="3" t="inlineStr"/>
      <c r="I12" s="3" t="inlineStr"/>
      <c r="J12" s="4" t="inlineStr">
        <is>
          <t>не в рейтинге</t>
        </is>
      </c>
      <c r="K12" s="4" t="inlineStr">
        <is>
          <t>не в рейтинге</t>
        </is>
      </c>
      <c r="L12" s="4" t="inlineStr">
        <is>
          <t>нет в опубл. списке (опубликован только топ-15 страны)</t>
        </is>
      </c>
      <c r="M12" s="4" t="inlineStr">
        <is>
          <t>нет общенационального рейтинга</t>
        </is>
      </c>
      <c r="N12" s="4" t="inlineStr">
        <is>
          <t>—</t>
        </is>
      </c>
      <c r="O12" s="4" t="n"/>
      <c r="P12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3">
      <c r="A13" s="3" t="inlineStr">
        <is>
          <t>Belarus|Belarusian State University of Informatics and Radioelectronics (BSUIR)</t>
        </is>
      </c>
      <c r="B13" s="3" t="inlineStr">
        <is>
          <t>Belarus</t>
        </is>
      </c>
      <c r="C13" s="3" t="inlineStr">
        <is>
          <t>Минск</t>
        </is>
      </c>
      <c r="D13" s="3" t="inlineStr">
        <is>
          <t>Belarusian State University of Informatics and Radioelectronics (BSUIR)</t>
        </is>
      </c>
      <c r="E13" s="3" t="inlineStr">
        <is>
          <t>Белорусский государственный университет информатики и радиоэлектроники (БГУИР)</t>
        </is>
      </c>
      <c r="F13" s="3" t="inlineStr">
        <is>
          <t>https://www.bsuir.by</t>
        </is>
      </c>
      <c r="G13" s="3" t="inlineStr"/>
      <c r="H13" s="3" t="inlineStr">
        <is>
          <t>THE2027: Reporter (unranked)</t>
        </is>
      </c>
      <c r="I13" s="3" t="inlineStr"/>
      <c r="J13" s="4" t="inlineStr">
        <is>
          <t>не в рейтинге</t>
        </is>
      </c>
      <c r="K13" s="4" t="inlineStr">
        <is>
          <t>Reporter</t>
        </is>
      </c>
      <c r="L13" s="4" t="inlineStr">
        <is>
          <t>нет в опубл. списке (опубликован только топ-15 страны)</t>
        </is>
      </c>
      <c r="M13" s="4" t="inlineStr">
        <is>
          <t>нет общенационального рейтинга</t>
        </is>
      </c>
      <c r="N13" s="4" t="inlineStr">
        <is>
          <t>—</t>
        </is>
      </c>
      <c r="O13" s="4" t="inlineStr">
        <is>
          <t>https://www.timeshighereducation.com/world-university-rankings/2027/world-ranking</t>
        </is>
      </c>
      <c r="P13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4">
      <c r="A14" s="3" t="inlineStr">
        <is>
          <t>Belarus|Belarusian State University of Physical Culture (BSUPC)</t>
        </is>
      </c>
      <c r="B14" s="3" t="inlineStr">
        <is>
          <t>Belarus</t>
        </is>
      </c>
      <c r="C14" s="3" t="inlineStr">
        <is>
          <t>Минск</t>
        </is>
      </c>
      <c r="D14" s="3" t="inlineStr">
        <is>
          <t>Belarusian State University of Physical Culture (BSUPC)</t>
        </is>
      </c>
      <c r="E14" s="3" t="inlineStr">
        <is>
          <t>Учреждение образования «Белорусский государственный университет физической культуры» (БГУФК)</t>
        </is>
      </c>
      <c r="F14" s="3" t="inlineStr">
        <is>
          <t>https://www.sportedu.by</t>
        </is>
      </c>
      <c r="G14" s="3" t="inlineStr"/>
      <c r="H14" s="3" t="inlineStr"/>
      <c r="I14" s="3" t="inlineStr"/>
      <c r="J14" s="4" t="inlineStr">
        <is>
          <t>не в рейтинге</t>
        </is>
      </c>
      <c r="K14" s="4" t="inlineStr">
        <is>
          <t>не в рейтинге</t>
        </is>
      </c>
      <c r="L14" s="4" t="inlineStr">
        <is>
          <t>нет в опубл. списке (опубликован только топ-15 страны)</t>
        </is>
      </c>
      <c r="M14" s="4" t="inlineStr">
        <is>
          <t>нет общенационального рейтинга</t>
        </is>
      </c>
      <c r="N14" s="4" t="inlineStr">
        <is>
          <t>—</t>
        </is>
      </c>
      <c r="O14" s="4" t="n"/>
      <c r="P14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5">
      <c r="A15" s="3" t="inlineStr">
        <is>
          <t>Belarus|Belarusian State University of Transport (BSUT)</t>
        </is>
      </c>
      <c r="B15" s="3" t="inlineStr">
        <is>
          <t>Belarus</t>
        </is>
      </c>
      <c r="C15" s="3" t="inlineStr">
        <is>
          <t>Гомель</t>
        </is>
      </c>
      <c r="D15" s="3" t="inlineStr">
        <is>
          <t>Belarusian State University of Transport (BSUT)</t>
        </is>
      </c>
      <c r="E15" s="3" t="inlineStr">
        <is>
          <t>Белорусский государственный университет транспорта (БелГУТ)</t>
        </is>
      </c>
      <c r="F15" s="3" t="inlineStr">
        <is>
          <t>https://bsut.by</t>
        </is>
      </c>
      <c r="G15" s="3" t="inlineStr"/>
      <c r="H15" s="3" t="inlineStr"/>
      <c r="I15" s="3" t="inlineStr"/>
      <c r="J15" s="4" t="inlineStr">
        <is>
          <t>не в рейтинге</t>
        </is>
      </c>
      <c r="K15" s="4" t="inlineStr">
        <is>
          <t>не в рейтинге</t>
        </is>
      </c>
      <c r="L15" s="4" t="inlineStr">
        <is>
          <t>нет в опубл. списке (опубликован только топ-15 страны)</t>
        </is>
      </c>
      <c r="M15" s="4" t="inlineStr">
        <is>
          <t>нет общенационального рейтинга</t>
        </is>
      </c>
      <c r="N15" s="4" t="inlineStr">
        <is>
          <t>—</t>
        </is>
      </c>
      <c r="O15" s="4" t="n"/>
      <c r="P15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6">
      <c r="A16" s="3" t="inlineStr">
        <is>
          <t>Belarus|Belarusian-Russian University (BRU)</t>
        </is>
      </c>
      <c r="B16" s="3" t="inlineStr">
        <is>
          <t>Belarus</t>
        </is>
      </c>
      <c r="C16" s="3" t="inlineStr">
        <is>
          <t>Могилёв</t>
        </is>
      </c>
      <c r="D16" s="3" t="inlineStr">
        <is>
          <t>Belarusian-Russian University (BRU)</t>
        </is>
      </c>
      <c r="E16" s="3" t="inlineStr">
        <is>
          <t>Межгосударственное образовательное учреждение высшего образования «Белорусско-Российский университет» (БРУ)</t>
        </is>
      </c>
      <c r="F16" s="3" t="inlineStr">
        <is>
          <t>https://bru.by</t>
        </is>
      </c>
      <c r="G16" s="3" t="inlineStr"/>
      <c r="H16" s="3" t="inlineStr"/>
      <c r="I16" s="3" t="inlineStr"/>
      <c r="J16" s="4" t="inlineStr">
        <is>
          <t>не в рейтинге</t>
        </is>
      </c>
      <c r="K16" s="4" t="inlineStr">
        <is>
          <t>не в рейтинге</t>
        </is>
      </c>
      <c r="L16" s="4" t="inlineStr">
        <is>
          <t>7426</t>
        </is>
      </c>
      <c r="M16" s="4" t="inlineStr">
        <is>
          <t>нет общенационального рейтинга</t>
        </is>
      </c>
      <c r="N16" s="4" t="inlineStr">
        <is>
          <t>—</t>
        </is>
      </c>
      <c r="O16" s="4" t="inlineStr">
        <is>
          <t>https://figshare.com/articles/preprint/Ranking_Web_of_Universities_webometrics_info_July_2026_edition/33062150</t>
        </is>
      </c>
      <c r="P16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7">
      <c r="A17" s="3" t="inlineStr">
        <is>
          <t>Belarus|Brest State A.S. Pushkin University (BrSU)</t>
        </is>
      </c>
      <c r="B17" s="3" t="inlineStr">
        <is>
          <t>Belarus</t>
        </is>
      </c>
      <c r="C17" s="3" t="inlineStr">
        <is>
          <t>Брест</t>
        </is>
      </c>
      <c r="D17" s="3" t="inlineStr">
        <is>
          <t>Brest State A.S. Pushkin University (BrSU)</t>
        </is>
      </c>
      <c r="E17" s="3" t="inlineStr">
        <is>
          <t>Брестский государственный университет имени А.С. Пушкина (БрГУ)</t>
        </is>
      </c>
      <c r="F17" s="3" t="inlineStr">
        <is>
          <t>https://www.brsu.by</t>
        </is>
      </c>
      <c r="G17" s="3" t="inlineStr"/>
      <c r="H17" s="3" t="inlineStr"/>
      <c r="I17" s="3" t="inlineStr"/>
      <c r="J17" s="4" t="inlineStr">
        <is>
          <t>не в рейтинге</t>
        </is>
      </c>
      <c r="K17" s="4" t="inlineStr">
        <is>
          <t>не в рейтинге</t>
        </is>
      </c>
      <c r="L17" s="4" t="inlineStr">
        <is>
          <t>нет в опубл. списке (опубликован только топ-15 страны)</t>
        </is>
      </c>
      <c r="M17" s="4" t="inlineStr">
        <is>
          <t>нет общенационального рейтинга</t>
        </is>
      </c>
      <c r="N17" s="4" t="inlineStr">
        <is>
          <t>—</t>
        </is>
      </c>
      <c r="O17" s="4" t="n"/>
      <c r="P17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8">
      <c r="A18" s="3" t="inlineStr">
        <is>
          <t>Belarus|Brest State Technical University (BrSTU)</t>
        </is>
      </c>
      <c r="B18" s="3" t="inlineStr">
        <is>
          <t>Belarus</t>
        </is>
      </c>
      <c r="C18" s="3" t="inlineStr">
        <is>
          <t>Брест</t>
        </is>
      </c>
      <c r="D18" s="3" t="inlineStr">
        <is>
          <t>Brest State Technical University (BrSTU)</t>
        </is>
      </c>
      <c r="E18" s="3" t="inlineStr">
        <is>
          <t>Брестский государственный технический университет (БрГТУ)</t>
        </is>
      </c>
      <c r="F18" s="3" t="inlineStr">
        <is>
          <t>https://www.bstu.by</t>
        </is>
      </c>
      <c r="G18" s="3" t="inlineStr"/>
      <c r="H18" s="3" t="inlineStr"/>
      <c r="I18" s="3" t="inlineStr"/>
      <c r="J18" s="4" t="inlineStr">
        <is>
          <t>не в рейтинге</t>
        </is>
      </c>
      <c r="K18" s="4" t="inlineStr">
        <is>
          <t>не в рейтинге</t>
        </is>
      </c>
      <c r="L18" s="4" t="inlineStr">
        <is>
          <t>7525</t>
        </is>
      </c>
      <c r="M18" s="4" t="inlineStr">
        <is>
          <t>нет общенационального рейтинга</t>
        </is>
      </c>
      <c r="N18" s="4" t="inlineStr">
        <is>
          <t>—</t>
        </is>
      </c>
      <c r="O18" s="4" t="inlineStr">
        <is>
          <t>https://figshare.com/articles/preprint/Ranking_Web_of_Universities_webometrics_info_July_2026_edition/33062150</t>
        </is>
      </c>
      <c r="P18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19">
      <c r="A19" s="3" t="inlineStr">
        <is>
          <t>Belarus|Euphrosyne Polotskaya State University of Polotsk</t>
        </is>
      </c>
      <c r="B19" s="3" t="inlineStr">
        <is>
          <t>Belarus</t>
        </is>
      </c>
      <c r="C19" s="3" t="inlineStr">
        <is>
          <t>Новополоцк</t>
        </is>
      </c>
      <c r="D19" s="3" t="inlineStr">
        <is>
          <t>Euphrosyne Polotskaya State University of Polotsk</t>
        </is>
      </c>
      <c r="E19" s="3" t="inlineStr">
        <is>
          <t>Полоцкий государственный университет имени Евфросинии Полоцкой (ПГУ)</t>
        </is>
      </c>
      <c r="F19" s="3" t="inlineStr">
        <is>
          <t>https://www.psu.by</t>
        </is>
      </c>
      <c r="G19" s="3" t="inlineStr"/>
      <c r="H19" s="3" t="inlineStr"/>
      <c r="I19" s="3" t="inlineStr"/>
      <c r="J19" s="4" t="inlineStr">
        <is>
          <t>не в рейтинге</t>
        </is>
      </c>
      <c r="K19" s="4" t="inlineStr">
        <is>
          <t>не в рейтинге</t>
        </is>
      </c>
      <c r="L19" s="4" t="inlineStr">
        <is>
          <t>7129</t>
        </is>
      </c>
      <c r="M19" s="4" t="inlineStr">
        <is>
          <t>нет общенационального рейтинга</t>
        </is>
      </c>
      <c r="N19" s="4" t="inlineStr">
        <is>
          <t>—</t>
        </is>
      </c>
      <c r="O19" s="4" t="inlineStr">
        <is>
          <t>https://figshare.com/articles/preprint/Ranking_Web_of_Universities_webometrics_info_July_2026_edition/33062150</t>
        </is>
      </c>
      <c r="P19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0">
      <c r="A20" s="3" t="inlineStr">
        <is>
          <t>Belarus|Francisk Skorina Gomel State University (GSU)</t>
        </is>
      </c>
      <c r="B20" s="3" t="inlineStr">
        <is>
          <t>Belarus</t>
        </is>
      </c>
      <c r="C20" s="3" t="inlineStr">
        <is>
          <t>Гомель</t>
        </is>
      </c>
      <c r="D20" s="3" t="inlineStr">
        <is>
          <t>Francisk Skorina Gomel State University (GSU)</t>
        </is>
      </c>
      <c r="E20" s="3" t="inlineStr">
        <is>
          <t>Учреждение образования «Гомельский государственный университет имени Франциска Скорины» (ГГУ им. Ф. Скорины)</t>
        </is>
      </c>
      <c r="F20" s="3" t="inlineStr">
        <is>
          <t>https://www.gsu.by</t>
        </is>
      </c>
      <c r="G20" s="3" t="inlineStr"/>
      <c r="H20" s="3" t="inlineStr">
        <is>
          <t>THE2027: Reporter (unranked)</t>
        </is>
      </c>
      <c r="I20" s="3" t="inlineStr"/>
      <c r="J20" s="4" t="inlineStr">
        <is>
          <t>не в рейтинге</t>
        </is>
      </c>
      <c r="K20" s="4" t="inlineStr">
        <is>
          <t>Reporter</t>
        </is>
      </c>
      <c r="L20" s="4" t="inlineStr">
        <is>
          <t>4999</t>
        </is>
      </c>
      <c r="M20" s="4" t="inlineStr">
        <is>
          <t>нет общенационального рейтинга</t>
        </is>
      </c>
      <c r="N20" s="4" t="inlineStr">
        <is>
          <t>—</t>
        </is>
      </c>
      <c r="O20" s="4" t="inlineStr">
        <is>
          <t>https://www.timeshighereducation.com/world-university-rankings/2027/world-ranking
https://figshare.com/articles/preprint/Ranking_Web_of_Universities_webometrics_info_July_2026_edition/33062150</t>
        </is>
      </c>
      <c r="P20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1">
      <c r="A21" s="3" t="inlineStr">
        <is>
          <t>Belarus|Grodno State Agrarian University (GSAU)</t>
        </is>
      </c>
      <c r="B21" s="3" t="inlineStr">
        <is>
          <t>Belarus</t>
        </is>
      </c>
      <c r="C21" s="3" t="inlineStr">
        <is>
          <t>Гродно</t>
        </is>
      </c>
      <c r="D21" s="3" t="inlineStr">
        <is>
          <t>Grodno State Agrarian University (GSAU)</t>
        </is>
      </c>
      <c r="E21" s="3" t="inlineStr">
        <is>
          <t>Учреждение образования «Гродненский государственный аграрный университет» (ГГАУ)</t>
        </is>
      </c>
      <c r="F21" s="3" t="inlineStr">
        <is>
          <t>https://www.ggau.by</t>
        </is>
      </c>
      <c r="G21" s="3" t="inlineStr"/>
      <c r="H21" s="3" t="inlineStr"/>
      <c r="I21" s="3" t="inlineStr"/>
      <c r="J21" s="4" t="inlineStr">
        <is>
          <t>не в рейтинге</t>
        </is>
      </c>
      <c r="K21" s="4" t="inlineStr">
        <is>
          <t>не в рейтинге</t>
        </is>
      </c>
      <c r="L21" s="4" t="inlineStr">
        <is>
          <t>нет в опубл. списке (опубликован только топ-15 страны)</t>
        </is>
      </c>
      <c r="M21" s="4" t="inlineStr">
        <is>
          <t>нет общенационального рейтинга</t>
        </is>
      </c>
      <c r="N21" s="4" t="inlineStr">
        <is>
          <t>—</t>
        </is>
      </c>
      <c r="O21" s="4" t="n"/>
      <c r="P21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2">
      <c r="A22" s="3" t="inlineStr">
        <is>
          <t>Belarus|Mogilev State A. Kuleshov University</t>
        </is>
      </c>
      <c r="B22" s="3" t="inlineStr">
        <is>
          <t>Belarus</t>
        </is>
      </c>
      <c r="C22" s="3" t="inlineStr">
        <is>
          <t>Могилёв</t>
        </is>
      </c>
      <c r="D22" s="3" t="inlineStr">
        <is>
          <t>Mogilev State A. Kuleshov University</t>
        </is>
      </c>
      <c r="E22" s="3" t="inlineStr">
        <is>
          <t>Могилёвский государственный университет имени А.А. Кулешова (МГУ им. А.А. Кулешова)</t>
        </is>
      </c>
      <c r="F22" s="3" t="inlineStr">
        <is>
          <t>https://msu.by</t>
        </is>
      </c>
      <c r="G22" s="3" t="inlineStr"/>
      <c r="H22" s="3" t="inlineStr"/>
      <c r="I22" s="3" t="inlineStr"/>
      <c r="J22" s="4" t="inlineStr">
        <is>
          <t>не в рейтинге</t>
        </is>
      </c>
      <c r="K22" s="4" t="inlineStr">
        <is>
          <t>не в рейтинге</t>
        </is>
      </c>
      <c r="L22" s="4" t="inlineStr">
        <is>
          <t>нет в опубл. списке (опубликован только топ-15 страны)</t>
        </is>
      </c>
      <c r="M22" s="4" t="inlineStr">
        <is>
          <t>нет общенационального рейтинга</t>
        </is>
      </c>
      <c r="N22" s="4" t="inlineStr">
        <is>
          <t>—</t>
        </is>
      </c>
      <c r="O22" s="4" t="n"/>
      <c r="P22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3">
      <c r="A23" s="3" t="inlineStr">
        <is>
          <t>Belarus|Mozyr State Pedagogical University named after I.P. Shamyakin (MSPU)</t>
        </is>
      </c>
      <c r="B23" s="3" t="inlineStr">
        <is>
          <t>Belarus</t>
        </is>
      </c>
      <c r="C23" s="3" t="inlineStr">
        <is>
          <t>Мозырь</t>
        </is>
      </c>
      <c r="D23" s="3" t="inlineStr">
        <is>
          <t>Mozyr State Pedagogical University named after I.P. Shamyakin (MSPU)</t>
        </is>
      </c>
      <c r="E23" s="3" t="inlineStr">
        <is>
          <t>Учреждение образования «Мозырский государственный педагогический университет имени И.П. Шамякина» (МГПУ им. И.П. Шамякина)</t>
        </is>
      </c>
      <c r="F23" s="3" t="inlineStr">
        <is>
          <t>https://mspu.by</t>
        </is>
      </c>
      <c r="G23" s="3" t="inlineStr"/>
      <c r="H23" s="3" t="inlineStr"/>
      <c r="I23" s="3" t="inlineStr"/>
      <c r="J23" s="4" t="inlineStr">
        <is>
          <t>не в рейтинге</t>
        </is>
      </c>
      <c r="K23" s="4" t="inlineStr">
        <is>
          <t>не в рейтинге</t>
        </is>
      </c>
      <c r="L23" s="4" t="inlineStr">
        <is>
          <t>нет в опубл. списке (опубликован только топ-15 страны)</t>
        </is>
      </c>
      <c r="M23" s="4" t="inlineStr">
        <is>
          <t>нет общенационального рейтинга</t>
        </is>
      </c>
      <c r="N23" s="4" t="inlineStr">
        <is>
          <t>—</t>
        </is>
      </c>
      <c r="O23" s="4" t="n"/>
      <c r="P23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4">
      <c r="A24" s="3" t="inlineStr">
        <is>
          <t>Belarus|National Academy of Sciences of Belarus (NASB)</t>
        </is>
      </c>
      <c r="B24" s="3" t="inlineStr">
        <is>
          <t>Belarus</t>
        </is>
      </c>
      <c r="C24" s="3" t="inlineStr">
        <is>
          <t>Минск</t>
        </is>
      </c>
      <c r="D24" s="3" t="inlineStr">
        <is>
          <t>National Academy of Sciences of Belarus (NASB)</t>
        </is>
      </c>
      <c r="E24" s="3" t="inlineStr">
        <is>
          <t>Национальная академия наук Беларуси (НАН Беларуси)</t>
        </is>
      </c>
      <c r="F24" s="3" t="inlineStr">
        <is>
          <t>https://nasb.gov.by</t>
        </is>
      </c>
      <c r="G24" s="3" t="inlineStr"/>
      <c r="H24" s="3" t="inlineStr"/>
      <c r="I24" s="3" t="inlineStr"/>
      <c r="J24" s="4" t="inlineStr">
        <is>
          <t>не в рейтинге</t>
        </is>
      </c>
      <c r="K24" s="4" t="inlineStr">
        <is>
          <t>не в рейтинге</t>
        </is>
      </c>
      <c r="L24" s="4" t="inlineStr">
        <is>
          <t>нет в опубл. списке (опубликован только топ-15 страны)</t>
        </is>
      </c>
      <c r="M24" s="4" t="inlineStr">
        <is>
          <t>нет общенационального рейтинга</t>
        </is>
      </c>
      <c r="N24" s="4" t="inlineStr">
        <is>
          <t>—</t>
        </is>
      </c>
      <c r="O24" s="4" t="n"/>
      <c r="P24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5">
      <c r="A25" s="3" t="inlineStr">
        <is>
          <t>Belarus|Sukhoi State Technical University of Gomel (GSTU)</t>
        </is>
      </c>
      <c r="B25" s="3" t="inlineStr">
        <is>
          <t>Belarus</t>
        </is>
      </c>
      <c r="C25" s="3" t="inlineStr">
        <is>
          <t>Гомель</t>
        </is>
      </c>
      <c r="D25" s="3" t="inlineStr">
        <is>
          <t>Sukhoi State Technical University of Gomel (GSTU)</t>
        </is>
      </c>
      <c r="E25" s="3" t="inlineStr">
        <is>
          <t>Учреждение образования «Гомельский государственный технический университет имени П.О. Сухого» (ГГТУ им. П.О. Сухого)</t>
        </is>
      </c>
      <c r="F25" s="3" t="inlineStr">
        <is>
          <t>https://www.gstu.by</t>
        </is>
      </c>
      <c r="G25" s="3" t="inlineStr"/>
      <c r="H25" s="3" t="inlineStr"/>
      <c r="I25" s="3" t="inlineStr"/>
      <c r="J25" s="4" t="inlineStr">
        <is>
          <t>не в рейтинге</t>
        </is>
      </c>
      <c r="K25" s="4" t="inlineStr">
        <is>
          <t>не в рейтинге</t>
        </is>
      </c>
      <c r="L25" s="4" t="inlineStr">
        <is>
          <t>нет в опубл. списке (опубликован только топ-15 страны)</t>
        </is>
      </c>
      <c r="M25" s="4" t="inlineStr">
        <is>
          <t>нет общенационального рейтинга</t>
        </is>
      </c>
      <c r="N25" s="4" t="inlineStr">
        <is>
          <t>—</t>
        </is>
      </c>
      <c r="O25" s="4" t="n"/>
      <c r="P25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6">
      <c r="A26" s="3" t="inlineStr">
        <is>
          <t>Belarus|Vitebsk State Technological University (VSTU)</t>
        </is>
      </c>
      <c r="B26" s="3" t="inlineStr">
        <is>
          <t>Belarus</t>
        </is>
      </c>
      <c r="C26" s="3" t="inlineStr">
        <is>
          <t>Витебск</t>
        </is>
      </c>
      <c r="D26" s="3" t="inlineStr">
        <is>
          <t>Vitebsk State Technological University (VSTU)</t>
        </is>
      </c>
      <c r="E26" s="3" t="inlineStr">
        <is>
          <t>Учреждение образования «Витебский государственный технологический университет» (ВГТУ)</t>
        </is>
      </c>
      <c r="F26" s="3" t="inlineStr">
        <is>
          <t>https://vstu.by</t>
        </is>
      </c>
      <c r="G26" s="3" t="inlineStr"/>
      <c r="H26" s="3" t="inlineStr"/>
      <c r="I26" s="3" t="inlineStr"/>
      <c r="J26" s="4" t="inlineStr">
        <is>
          <t>не в рейтинге</t>
        </is>
      </c>
      <c r="K26" s="4" t="inlineStr">
        <is>
          <t>не в рейтинге</t>
        </is>
      </c>
      <c r="L26" s="4" t="inlineStr">
        <is>
          <t>нет в опубл. списке (опубликован только топ-15 страны)</t>
        </is>
      </c>
      <c r="M26" s="4" t="inlineStr">
        <is>
          <t>нет общенационального рейтинга</t>
        </is>
      </c>
      <c r="N26" s="4" t="inlineStr">
        <is>
          <t>—</t>
        </is>
      </c>
      <c r="O26" s="4" t="n"/>
      <c r="P26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7">
      <c r="A27" s="3" t="inlineStr">
        <is>
          <t>Belarus|Vitebsk State University named after P.M. Masherov</t>
        </is>
      </c>
      <c r="B27" s="3" t="inlineStr">
        <is>
          <t>Belarus</t>
        </is>
      </c>
      <c r="C27" s="3" t="inlineStr">
        <is>
          <t>Витебск</t>
        </is>
      </c>
      <c r="D27" s="3" t="inlineStr">
        <is>
          <t>Vitebsk State University named after P.M. Masherov</t>
        </is>
      </c>
      <c r="E27" s="3" t="inlineStr">
        <is>
          <t>Витебский государственный университет имени П.М. Машерова (ВГУ)</t>
        </is>
      </c>
      <c r="F27" s="3" t="inlineStr">
        <is>
          <t>https://www.vsu.by</t>
        </is>
      </c>
      <c r="G27" s="3" t="inlineStr"/>
      <c r="H27" s="3" t="inlineStr"/>
      <c r="I27" s="3" t="inlineStr"/>
      <c r="J27" s="4" t="inlineStr">
        <is>
          <t>не в рейтинге</t>
        </is>
      </c>
      <c r="K27" s="4" t="inlineStr">
        <is>
          <t>не в рейтинге</t>
        </is>
      </c>
      <c r="L27" s="4" t="inlineStr">
        <is>
          <t>6524</t>
        </is>
      </c>
      <c r="M27" s="4" t="inlineStr">
        <is>
          <t>нет общенационального рейтинга</t>
        </is>
      </c>
      <c r="N27" s="4" t="inlineStr">
        <is>
          <t>—</t>
        </is>
      </c>
      <c r="O27" s="4" t="inlineStr">
        <is>
          <t>https://figshare.com/articles/preprint/Ranking_Web_of_Universities_webometrics_info_July_2026_edition/33062150</t>
        </is>
      </c>
      <c r="P27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8">
      <c r="A28" s="3" t="inlineStr">
        <is>
          <t>Belarus|Yanka Kupala State University of Grodno (YKSUG / GrSU)</t>
        </is>
      </c>
      <c r="B28" s="3" t="inlineStr">
        <is>
          <t>Belarus</t>
        </is>
      </c>
      <c r="C28" s="3" t="inlineStr">
        <is>
          <t>Гродно</t>
        </is>
      </c>
      <c r="D28" s="3" t="inlineStr">
        <is>
          <t>Yanka Kupala State University of Grodno (YKSUG / GrSU)</t>
        </is>
      </c>
      <c r="E28" s="3" t="inlineStr">
        <is>
          <t>Учреждение образования «Гродненский государственный университет имени Янки Купалы» (ГрГУ им. Я. Купалы)</t>
        </is>
      </c>
      <c r="F28" s="3" t="inlineStr">
        <is>
          <t>https://www.grsu.by</t>
        </is>
      </c>
      <c r="G28" s="3" t="inlineStr"/>
      <c r="H28" s="3" t="inlineStr">
        <is>
          <t>THE2027: Reporter (unranked)</t>
        </is>
      </c>
      <c r="I28" s="3" t="inlineStr"/>
      <c r="J28" s="4" t="inlineStr">
        <is>
          <t>не в рейтинге</t>
        </is>
      </c>
      <c r="K28" s="4" t="inlineStr">
        <is>
          <t>Reporter</t>
        </is>
      </c>
      <c r="L28" s="4" t="inlineStr">
        <is>
          <t>нет в опубл. списке (опубликован только топ-15 страны)</t>
        </is>
      </c>
      <c r="M28" s="4" t="inlineStr">
        <is>
          <t>нет общенационального рейтинга</t>
        </is>
      </c>
      <c r="N28" s="4" t="inlineStr">
        <is>
          <t>—</t>
        </is>
      </c>
      <c r="O28" s="4" t="inlineStr">
        <is>
          <t>https://www.timeshighereducation.com/world-university-rankings/2027/world-ranking</t>
        </is>
      </c>
      <c r="P28" s="4" t="inlineStr">
        <is>
          <t>Национального рейтинга с местами нет: Минобразования Беларуси и иные устоявшиеся национальные органы рейтинг вузов с местами не публикуют.</t>
        </is>
      </c>
    </row>
    <row r="29">
      <c r="A29" s="3" t="inlineStr">
        <is>
          <t>Bolivia|Bolivian Catholic University "San Pablo" (UCB)</t>
        </is>
      </c>
      <c r="B29" s="3" t="inlineStr">
        <is>
          <t>Bolivia</t>
        </is>
      </c>
      <c r="C29" s="3" t="inlineStr">
        <is>
          <t>Ла-Пас</t>
        </is>
      </c>
      <c r="D29" s="3" t="inlineStr">
        <is>
          <t>Bolivian Catholic University "San Pablo" (UCB)</t>
        </is>
      </c>
      <c r="E29" s="3" t="inlineStr">
        <is>
          <t>Universidad Católica Boliviana "San Pablo"</t>
        </is>
      </c>
      <c r="F29" s="3" t="inlineStr">
        <is>
          <t>https://www.ucb.edu.bo</t>
        </is>
      </c>
      <c r="G29" s="3" t="inlineStr"/>
      <c r="H29" s="3" t="inlineStr"/>
      <c r="I29" s="3" t="inlineStr"/>
      <c r="J29" s="4" t="inlineStr">
        <is>
          <t>не в рейтинге</t>
        </is>
      </c>
      <c r="K29" s="4" t="inlineStr">
        <is>
          <t>не в рейтинге</t>
        </is>
      </c>
      <c r="L29" s="4" t="inlineStr">
        <is>
          <t>4943</t>
        </is>
      </c>
      <c r="M29" s="4" t="inlineStr">
        <is>
          <t>нет общенационального рейтинга</t>
        </is>
      </c>
      <c r="N29" s="4" t="inlineStr">
        <is>
          <t>—</t>
        </is>
      </c>
      <c r="O29" s="4" t="inlineStr">
        <is>
          <t>https://figshare.com/articles/preprint/Ranking_Web_of_Universities_webometrics_info_July_2026_edition/33062150</t>
        </is>
      </c>
      <c r="P29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0">
      <c r="A30" s="3" t="inlineStr">
        <is>
          <t>Bolivia|Bolivian Private University (UPB)</t>
        </is>
      </c>
      <c r="B30" s="3" t="inlineStr">
        <is>
          <t>Bolivia</t>
        </is>
      </c>
      <c r="C30" s="3" t="inlineStr">
        <is>
          <t>Кочабамба</t>
        </is>
      </c>
      <c r="D30" s="3" t="inlineStr">
        <is>
          <t>Bolivian Private University (UPB)</t>
        </is>
      </c>
      <c r="E30" s="3" t="inlineStr">
        <is>
          <t>Universidad Privada Boliviana</t>
        </is>
      </c>
      <c r="F30" s="3" t="inlineStr">
        <is>
          <t>https://www.upb.edu</t>
        </is>
      </c>
      <c r="G30" s="3" t="inlineStr"/>
      <c r="H30" s="3" t="inlineStr"/>
      <c r="I30" s="3" t="inlineStr"/>
      <c r="J30" s="4" t="inlineStr">
        <is>
          <t>не в рейтинге</t>
        </is>
      </c>
      <c r="K30" s="4" t="inlineStr">
        <is>
          <t>не в рейтинге</t>
        </is>
      </c>
      <c r="L30" s="4" t="inlineStr">
        <is>
          <t>5634</t>
        </is>
      </c>
      <c r="M30" s="4" t="inlineStr">
        <is>
          <t>нет общенационального рейтинга</t>
        </is>
      </c>
      <c r="N30" s="4" t="inlineStr">
        <is>
          <t>—</t>
        </is>
      </c>
      <c r="O30" s="4" t="inlineStr">
        <is>
          <t>https://figshare.com/articles/preprint/Ranking_Web_of_Universities_webometrics_info_July_2026_edition/33062150</t>
        </is>
      </c>
      <c r="P30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1">
      <c r="A31" s="3" t="inlineStr">
        <is>
          <t>Bolivia|Bolivian Space Agency (ABE)</t>
        </is>
      </c>
      <c r="B31" s="3" t="inlineStr">
        <is>
          <t>Bolivia</t>
        </is>
      </c>
      <c r="C31" s="3" t="inlineStr">
        <is>
          <t>Ла-Пас</t>
        </is>
      </c>
      <c r="D31" s="3" t="inlineStr">
        <is>
          <t>Bolivian Space Agency (ABE)</t>
        </is>
      </c>
      <c r="E31" s="3" t="inlineStr">
        <is>
          <t>Agencia Boliviana Espacial (ABE)</t>
        </is>
      </c>
      <c r="F31" s="3" t="inlineStr">
        <is>
          <t>https://www.abe.bo</t>
        </is>
      </c>
      <c r="G31" s="3" t="inlineStr"/>
      <c r="H31" s="3" t="inlineStr"/>
      <c r="I31" s="3" t="inlineStr"/>
      <c r="J31" s="4" t="inlineStr">
        <is>
          <t>не в рейтинге</t>
        </is>
      </c>
      <c r="K31" s="4" t="inlineStr">
        <is>
          <t>не в рейтинге</t>
        </is>
      </c>
      <c r="L31" s="4" t="inlineStr">
        <is>
          <t>нет в опубл. списке (опубликован только топ-15 страны)</t>
        </is>
      </c>
      <c r="M31" s="4" t="inlineStr">
        <is>
          <t>нет общенационального рейтинга</t>
        </is>
      </c>
      <c r="N31" s="4" t="inlineStr">
        <is>
          <t>—</t>
        </is>
      </c>
      <c r="O31" s="4" t="n"/>
      <c r="P31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2">
      <c r="A32" s="3" t="inlineStr">
        <is>
          <t>Bolivia|Gabriel René Moreno Autonomous University (UAGRM)</t>
        </is>
      </c>
      <c r="B32" s="3" t="inlineStr">
        <is>
          <t>Bolivia</t>
        </is>
      </c>
      <c r="C32" s="3" t="inlineStr">
        <is>
          <t>Санта-Крус-де-ла-Сьерра</t>
        </is>
      </c>
      <c r="D32" s="3" t="inlineStr">
        <is>
          <t>Gabriel René Moreno Autonomous University (UAGRM)</t>
        </is>
      </c>
      <c r="E32" s="3" t="inlineStr">
        <is>
          <t>Universidad Autónoma Gabriel René Moreno</t>
        </is>
      </c>
      <c r="F32" s="3" t="inlineStr">
        <is>
          <t>https://www.uagrm.edu.bo</t>
        </is>
      </c>
      <c r="G32" s="3" t="inlineStr"/>
      <c r="H32" s="3" t="inlineStr"/>
      <c r="I32" s="3" t="inlineStr"/>
      <c r="J32" s="4" t="inlineStr">
        <is>
          <t>не в рейтинге</t>
        </is>
      </c>
      <c r="K32" s="4" t="inlineStr">
        <is>
          <t>не в рейтинге</t>
        </is>
      </c>
      <c r="L32" s="4" t="inlineStr">
        <is>
          <t>5603</t>
        </is>
      </c>
      <c r="M32" s="4" t="inlineStr">
        <is>
          <t>нет общенационального рейтинга</t>
        </is>
      </c>
      <c r="N32" s="4" t="inlineStr">
        <is>
          <t>—</t>
        </is>
      </c>
      <c r="O32" s="4" t="inlineStr">
        <is>
          <t>https://figshare.com/articles/preprint/Ranking_Web_of_Universities_webometrics_info_July_2026_edition/33062150</t>
        </is>
      </c>
      <c r="P32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3">
      <c r="A33" s="3" t="inlineStr">
        <is>
          <t>Bolivia|Higher University of San Andrés (UMSA)</t>
        </is>
      </c>
      <c r="B33" s="3" t="inlineStr">
        <is>
          <t>Bolivia</t>
        </is>
      </c>
      <c r="C33" s="3" t="inlineStr">
        <is>
          <t>Ла-Пас</t>
        </is>
      </c>
      <c r="D33" s="3" t="inlineStr">
        <is>
          <t>Higher University of San Andrés (UMSA)</t>
        </is>
      </c>
      <c r="E33" s="3" t="inlineStr">
        <is>
          <t>Universidad Mayor de San Andrés</t>
        </is>
      </c>
      <c r="F33" s="3" t="inlineStr">
        <is>
          <t>https://www.umsa.bo</t>
        </is>
      </c>
      <c r="G33" s="3" t="inlineStr"/>
      <c r="H33" s="3" t="inlineStr"/>
      <c r="I33" s="3" t="inlineStr"/>
      <c r="J33" s="4" t="inlineStr">
        <is>
          <t>не в рейтинге</t>
        </is>
      </c>
      <c r="K33" s="4" t="inlineStr">
        <is>
          <t>не в рейтинге</t>
        </is>
      </c>
      <c r="L33" s="4" t="inlineStr">
        <is>
          <t>3317</t>
        </is>
      </c>
      <c r="M33" s="4" t="inlineStr">
        <is>
          <t>нет общенационального рейтинга</t>
        </is>
      </c>
      <c r="N33" s="4" t="inlineStr">
        <is>
          <t>—</t>
        </is>
      </c>
      <c r="O33" s="4" t="inlineStr">
        <is>
          <t>https://figshare.com/articles/preprint/Ranking_Web_of_Universities_webometrics_info_July_2026_edition/33062150</t>
        </is>
      </c>
      <c r="P33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4">
      <c r="A34" s="3" t="inlineStr">
        <is>
          <t>Bolivia|Higher University of San Simón (UMSS)</t>
        </is>
      </c>
      <c r="B34" s="3" t="inlineStr">
        <is>
          <t>Bolivia</t>
        </is>
      </c>
      <c r="C34" s="3" t="inlineStr">
        <is>
          <t>Кочабамба</t>
        </is>
      </c>
      <c r="D34" s="3" t="inlineStr">
        <is>
          <t>Higher University of San Simón (UMSS)</t>
        </is>
      </c>
      <c r="E34" s="3" t="inlineStr">
        <is>
          <t>Universidad Mayor de San Simón</t>
        </is>
      </c>
      <c r="F34" s="3" t="inlineStr">
        <is>
          <t>https://www.umss.edu.bo</t>
        </is>
      </c>
      <c r="G34" s="3" t="inlineStr"/>
      <c r="H34" s="3" t="inlineStr"/>
      <c r="I34" s="3" t="inlineStr"/>
      <c r="J34" s="4" t="inlineStr">
        <is>
          <t>не в рейтинге</t>
        </is>
      </c>
      <c r="K34" s="4" t="inlineStr">
        <is>
          <t>не в рейтинге</t>
        </is>
      </c>
      <c r="L34" s="4" t="inlineStr">
        <is>
          <t>4027</t>
        </is>
      </c>
      <c r="M34" s="4" t="inlineStr">
        <is>
          <t>нет общенационального рейтинга</t>
        </is>
      </c>
      <c r="N34" s="4" t="inlineStr">
        <is>
          <t>—</t>
        </is>
      </c>
      <c r="O34" s="4" t="inlineStr">
        <is>
          <t>https://figshare.com/articles/preprint/Ranking_Web_of_Universities_webometrics_info_July_2026_edition/33062150</t>
        </is>
      </c>
      <c r="P34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5">
      <c r="A35" s="3" t="inlineStr">
        <is>
          <t>Bolivia|Private University of Santa Cruz de la Sierra (UPSA)</t>
        </is>
      </c>
      <c r="B35" s="3" t="inlineStr">
        <is>
          <t>Bolivia</t>
        </is>
      </c>
      <c r="C35" s="3" t="inlineStr">
        <is>
          <t>Санта-Крус-де-ла-Сьерра</t>
        </is>
      </c>
      <c r="D35" s="3" t="inlineStr">
        <is>
          <t>Private University of Santa Cruz de la Sierra (UPSA)</t>
        </is>
      </c>
      <c r="E35" s="3" t="inlineStr">
        <is>
          <t>Universidad Privada de Santa Cruz de la Sierra</t>
        </is>
      </c>
      <c r="F35" s="3" t="inlineStr">
        <is>
          <t>https://www.upsa.edu.bo</t>
        </is>
      </c>
      <c r="G35" s="3" t="inlineStr"/>
      <c r="H35" s="3" t="inlineStr"/>
      <c r="I35" s="3" t="inlineStr"/>
      <c r="J35" s="4" t="inlineStr">
        <is>
          <t>не в рейтинге</t>
        </is>
      </c>
      <c r="K35" s="4" t="inlineStr">
        <is>
          <t>не в рейтинге</t>
        </is>
      </c>
      <c r="L35" s="4" t="inlineStr">
        <is>
          <t>6055</t>
        </is>
      </c>
      <c r="M35" s="4" t="inlineStr">
        <is>
          <t>нет общенационального рейтинга</t>
        </is>
      </c>
      <c r="N35" s="4" t="inlineStr">
        <is>
          <t>—</t>
        </is>
      </c>
      <c r="O35" s="4" t="inlineStr">
        <is>
          <t>https://figshare.com/articles/preprint/Ranking_Web_of_Universities_webometrics_info_July_2026_edition/33062150</t>
        </is>
      </c>
      <c r="P35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6">
      <c r="A36" s="3" t="inlineStr">
        <is>
          <t>Bolivia|Royal and Pontifical Higher University of San Francisco Xavier of Chuquisaca (USFX)</t>
        </is>
      </c>
      <c r="B36" s="3" t="inlineStr">
        <is>
          <t>Bolivia</t>
        </is>
      </c>
      <c r="C36" s="3" t="inlineStr">
        <is>
          <t>Сукре</t>
        </is>
      </c>
      <c r="D36" s="3" t="inlineStr">
        <is>
          <t>Royal and Pontifical Higher University of San Francisco Xavier of Chuquisaca (USFX)</t>
        </is>
      </c>
      <c r="E36" s="3" t="inlineStr">
        <is>
          <t>Universidad Mayor, Real y Pontificia de San Francisco Xavier de Chuquisaca</t>
        </is>
      </c>
      <c r="F36" s="3" t="inlineStr">
        <is>
          <t>https://www.usfx.bo</t>
        </is>
      </c>
      <c r="G36" s="3" t="inlineStr"/>
      <c r="H36" s="3" t="inlineStr"/>
      <c r="I36" s="3" t="inlineStr"/>
      <c r="J36" s="4" t="inlineStr">
        <is>
          <t>не в рейтинге</t>
        </is>
      </c>
      <c r="K36" s="4" t="inlineStr">
        <is>
          <t>не в рейтинге</t>
        </is>
      </c>
      <c r="L36" s="4" t="inlineStr">
        <is>
          <t>6227</t>
        </is>
      </c>
      <c r="M36" s="4" t="inlineStr">
        <is>
          <t>нет общенационального рейтинга</t>
        </is>
      </c>
      <c r="N36" s="4" t="inlineStr">
        <is>
          <t>—</t>
        </is>
      </c>
      <c r="O36" s="4" t="inlineStr">
        <is>
          <t>https://figshare.com/articles/preprint/Ranking_Web_of_Universities_webometrics_info_July_2026_edition/33062150</t>
        </is>
      </c>
      <c r="P36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7">
      <c r="A37" s="3" t="inlineStr">
        <is>
          <t>Bolivia|Technical University of Oruro (UTO)</t>
        </is>
      </c>
      <c r="B37" s="3" t="inlineStr">
        <is>
          <t>Bolivia</t>
        </is>
      </c>
      <c r="C37" s="3" t="inlineStr">
        <is>
          <t>Оруро</t>
        </is>
      </c>
      <c r="D37" s="3" t="inlineStr">
        <is>
          <t>Technical University of Oruro (UTO)</t>
        </is>
      </c>
      <c r="E37" s="3" t="inlineStr">
        <is>
          <t>Universidad Técnica de Oruro</t>
        </is>
      </c>
      <c r="F37" s="3" t="inlineStr">
        <is>
          <t>https://www.uto.edu.bo</t>
        </is>
      </c>
      <c r="G37" s="3" t="inlineStr"/>
      <c r="H37" s="3" t="inlineStr"/>
      <c r="I37" s="3" t="inlineStr"/>
      <c r="J37" s="4" t="inlineStr">
        <is>
          <t>не в рейтинге</t>
        </is>
      </c>
      <c r="K37" s="4" t="inlineStr">
        <is>
          <t>не в рейтинге</t>
        </is>
      </c>
      <c r="L37" s="4" t="inlineStr">
        <is>
          <t>11124</t>
        </is>
      </c>
      <c r="M37" s="4" t="inlineStr">
        <is>
          <t>нет общенационального рейтинга</t>
        </is>
      </c>
      <c r="N37" s="4" t="inlineStr">
        <is>
          <t>—</t>
        </is>
      </c>
      <c r="O37" s="4" t="inlineStr">
        <is>
          <t>https://figshare.com/articles/preprint/Ranking_Web_of_Universities_webometrics_info_July_2026_edition/33062150</t>
        </is>
      </c>
      <c r="P37" s="4" t="inlineStr">
        <is>
          <t>Национального рейтинга нет: Минобр и CEUB рейтингов не публикуют (только аккредитация программ CEUB/ARCU-SUR).</t>
        </is>
      </c>
    </row>
    <row r="38">
      <c r="A38" s="3" t="inlineStr">
        <is>
          <t>Brazil|Amazonas State University (UEA)</t>
        </is>
      </c>
      <c r="B38" s="3" t="inlineStr">
        <is>
          <t>Brazil</t>
        </is>
      </c>
      <c r="C38" s="3" t="inlineStr">
        <is>
          <t>Манаус</t>
        </is>
      </c>
      <c r="D38" s="3" t="inlineStr">
        <is>
          <t>Amazonas State University (UEA)</t>
        </is>
      </c>
      <c r="E38" s="3" t="inlineStr">
        <is>
          <t>Universidade do Estado do Amazonas (UEA)</t>
        </is>
      </c>
      <c r="F38" s="3" t="inlineStr">
        <is>
          <t>https://www.uea.edu.br</t>
        </is>
      </c>
      <c r="G38" s="3" t="inlineStr"/>
      <c r="H38" s="3" t="inlineStr"/>
      <c r="I38" s="3" t="inlineStr"/>
      <c r="J38" s="4" t="inlineStr">
        <is>
          <t>не в рейтинге</t>
        </is>
      </c>
      <c r="K38" s="4" t="inlineStr">
        <is>
          <t>не в рейтинге</t>
        </is>
      </c>
      <c r="L38" s="4" t="inlineStr">
        <is>
          <t>нет в опубл. списке (опубликован только топ-15 страны)</t>
        </is>
      </c>
      <c r="M38" s="4" t="inlineStr">
        <is>
          <t>RUF 2025 (Folha)</t>
        </is>
      </c>
      <c r="N38" s="4" t="inlineStr">
        <is>
          <t>104</t>
        </is>
      </c>
      <c r="O38" s="4" t="inlineStr">
        <is>
          <t>https://ruf.folha.uol.com.br/2025/ranking-de-universidades/principal/</t>
        </is>
      </c>
      <c r="P38" s="4" t="n"/>
    </row>
    <row r="39">
      <c r="A39" s="3" t="inlineStr">
        <is>
          <t>Brazil|Bahia State University</t>
        </is>
      </c>
      <c r="B39" s="3" t="inlineStr">
        <is>
          <t>Brazil</t>
        </is>
      </c>
      <c r="C39" s="3" t="inlineStr">
        <is>
          <t>Салвадор</t>
        </is>
      </c>
      <c r="D39" s="3" t="inlineStr">
        <is>
          <t>Bahia State University</t>
        </is>
      </c>
      <c r="E39" s="3" t="inlineStr">
        <is>
          <t>Universidade do Estado da Bahia (UNEB)</t>
        </is>
      </c>
      <c r="F39" s="3" t="inlineStr">
        <is>
          <t>https://portal.uneb.br</t>
        </is>
      </c>
      <c r="G39" s="3" t="inlineStr"/>
      <c r="H39" s="3" t="inlineStr"/>
      <c r="I39" s="3" t="inlineStr"/>
      <c r="J39" s="4" t="inlineStr">
        <is>
          <t>не в рейтинге</t>
        </is>
      </c>
      <c r="K39" s="4" t="inlineStr">
        <is>
          <t>не в рейтинге</t>
        </is>
      </c>
      <c r="L39" s="4" t="inlineStr">
        <is>
          <t>нет в опубл. списке (опубликован только топ-15 страны)</t>
        </is>
      </c>
      <c r="M39" s="4" t="inlineStr">
        <is>
          <t>RUF 2025 (Folha)</t>
        </is>
      </c>
      <c r="N39" s="4" t="inlineStr">
        <is>
          <t>75</t>
        </is>
      </c>
      <c r="O39" s="4" t="inlineStr">
        <is>
          <t>https://ruf.folha.uol.com.br/2025/ranking-de-universidades/principal/</t>
        </is>
      </c>
      <c r="P39" s="4" t="n"/>
    </row>
    <row r="40">
      <c r="A40" s="3" t="inlineStr">
        <is>
          <t>Brazil|Catholic University of Brasília (UCB)</t>
        </is>
      </c>
      <c r="B40" s="3" t="inlineStr">
        <is>
          <t>Brazil</t>
        </is>
      </c>
      <c r="C40" s="3" t="inlineStr">
        <is>
          <t>Бразилиа</t>
        </is>
      </c>
      <c r="D40" s="3" t="inlineStr">
        <is>
          <t>Catholic University of Brasília (UCB)</t>
        </is>
      </c>
      <c r="E40" s="3" t="inlineStr">
        <is>
          <t>Universidade Católica de Brasília (UCB)</t>
        </is>
      </c>
      <c r="F40" s="3" t="inlineStr">
        <is>
          <t>https://ucb.catolica.edu.br</t>
        </is>
      </c>
      <c r="G40" s="3" t="inlineStr"/>
      <c r="H40" s="3" t="inlineStr">
        <is>
          <t>THE2027: 2001+</t>
        </is>
      </c>
      <c r="I40" s="3" t="inlineStr"/>
      <c r="J40" s="4" t="inlineStr">
        <is>
          <t>не в рейтинге</t>
        </is>
      </c>
      <c r="K40" s="4" t="inlineStr">
        <is>
          <t>2001+</t>
        </is>
      </c>
      <c r="L40" s="4" t="inlineStr">
        <is>
          <t>нет в опубл. списке (опубликован только топ-15 страны)</t>
        </is>
      </c>
      <c r="M40" s="4" t="inlineStr">
        <is>
          <t>RUF 2025 (Folha)</t>
        </is>
      </c>
      <c r="N40" s="4" t="inlineStr">
        <is>
          <t>61</t>
        </is>
      </c>
      <c r="O40" s="4" t="inlineStr">
        <is>
          <t>https://www.timeshighereducation.com/world-university-rankings/2027/world-ranking
https://ruf.folha.uol.com.br/2025/ranking-de-universidades/principal/</t>
        </is>
      </c>
      <c r="P40" s="4" t="n"/>
    </row>
    <row r="41">
      <c r="A41" s="3" t="inlineStr">
        <is>
          <t>Brazil|Catholic University of Pernambuco (UNICAP)</t>
        </is>
      </c>
      <c r="B41" s="3" t="inlineStr">
        <is>
          <t>Brazil</t>
        </is>
      </c>
      <c r="C41" s="3" t="inlineStr">
        <is>
          <t>Ресифи</t>
        </is>
      </c>
      <c r="D41" s="3" t="inlineStr">
        <is>
          <t>Catholic University of Pernambuco (UNICAP)</t>
        </is>
      </c>
      <c r="E41" s="3" t="inlineStr">
        <is>
          <t>Universidade Católica de Pernambuco (UNICAP)</t>
        </is>
      </c>
      <c r="F41" s="3" t="inlineStr">
        <is>
          <t>https://portal.unicap.br</t>
        </is>
      </c>
      <c r="G41" s="3" t="inlineStr"/>
      <c r="H41" s="3" t="inlineStr"/>
      <c r="I41" s="3" t="inlineStr"/>
      <c r="J41" s="4" t="inlineStr">
        <is>
          <t>не в рейтинге</t>
        </is>
      </c>
      <c r="K41" s="4" t="inlineStr">
        <is>
          <t>не в рейтинге</t>
        </is>
      </c>
      <c r="L41" s="4" t="inlineStr">
        <is>
          <t>нет в опубл. списке (опубликован только топ-15 страны)</t>
        </is>
      </c>
      <c r="M41" s="4" t="inlineStr">
        <is>
          <t>RUF 2025 (Folha)</t>
        </is>
      </c>
      <c r="N41" s="4" t="inlineStr">
        <is>
          <t>105</t>
        </is>
      </c>
      <c r="O41" s="4" t="inlineStr">
        <is>
          <t>https://ruf.folha.uol.com.br/2025/ranking-de-universidades/principal/</t>
        </is>
      </c>
      <c r="P41" s="4" t="n"/>
    </row>
    <row r="42">
      <c r="A42" s="3" t="inlineStr">
        <is>
          <t>Brazil|Catholic University of Santos (UNISANTOS)</t>
        </is>
      </c>
      <c r="B42" s="3" t="inlineStr">
        <is>
          <t>Brazil</t>
        </is>
      </c>
      <c r="C42" s="3" t="inlineStr">
        <is>
          <t>Сантус</t>
        </is>
      </c>
      <c r="D42" s="3" t="inlineStr">
        <is>
          <t>Catholic University of Santos (UNISANTOS)</t>
        </is>
      </c>
      <c r="E42" s="3" t="inlineStr">
        <is>
          <t>Universidade Católica de Santos (UniSantos)</t>
        </is>
      </c>
      <c r="F42" s="3" t="inlineStr">
        <is>
          <t>https://www.unisantos.br</t>
        </is>
      </c>
      <c r="G42" s="3" t="inlineStr"/>
      <c r="H42" s="3" t="inlineStr"/>
      <c r="I42" s="3" t="inlineStr"/>
      <c r="J42" s="4" t="inlineStr">
        <is>
          <t>не в рейтинге</t>
        </is>
      </c>
      <c r="K42" s="4" t="inlineStr">
        <is>
          <t>не в рейтинге</t>
        </is>
      </c>
      <c r="L42" s="4" t="inlineStr">
        <is>
          <t>нет в опубл. списке (опубликован только топ-15 страны)</t>
        </is>
      </c>
      <c r="M42" s="4" t="inlineStr">
        <is>
          <t>RUF 2025 (Folha)</t>
        </is>
      </c>
      <c r="N42" s="4" t="inlineStr">
        <is>
          <t>139</t>
        </is>
      </c>
      <c r="O42" s="4" t="inlineStr">
        <is>
          <t>https://ruf.folha.uol.com.br/2025/ranking-de-universidades/principal/</t>
        </is>
      </c>
      <c r="P42" s="4" t="n"/>
    </row>
    <row r="43">
      <c r="A43" s="3" t="inlineStr">
        <is>
          <t>Brazil|Ceará State University</t>
        </is>
      </c>
      <c r="B43" s="3" t="inlineStr">
        <is>
          <t>Brazil</t>
        </is>
      </c>
      <c r="C43" s="3" t="inlineStr">
        <is>
          <t>Форталеза</t>
        </is>
      </c>
      <c r="D43" s="3" t="inlineStr">
        <is>
          <t>Ceará State University</t>
        </is>
      </c>
      <c r="E43" s="3" t="inlineStr">
        <is>
          <t>Universidade Estadual do Ceará (UECE)</t>
        </is>
      </c>
      <c r="F43" s="3" t="inlineStr">
        <is>
          <t>https://www.uece.br</t>
        </is>
      </c>
      <c r="G43" s="3" t="inlineStr"/>
      <c r="H43" s="3" t="inlineStr">
        <is>
          <t>THE2027: 2001+</t>
        </is>
      </c>
      <c r="I43" s="3" t="inlineStr"/>
      <c r="J43" s="4" t="inlineStr">
        <is>
          <t>не в рейтинге</t>
        </is>
      </c>
      <c r="K43" s="4" t="inlineStr">
        <is>
          <t>2001+</t>
        </is>
      </c>
      <c r="L43" s="4" t="inlineStr">
        <is>
          <t>нет в опубл. списке (опубликован только топ-15 страны)</t>
        </is>
      </c>
      <c r="M43" s="4" t="inlineStr">
        <is>
          <t>RUF 2025 (Folha)</t>
        </is>
      </c>
      <c r="N43" s="4" t="inlineStr">
        <is>
          <t>60</t>
        </is>
      </c>
      <c r="O43" s="4" t="inlineStr">
        <is>
          <t>https://www.timeshighereducation.com/world-university-rankings/2027/world-ranking
https://ruf.folha.uol.com.br/2025/ranking-de-universidades/principal/</t>
        </is>
      </c>
      <c r="P43" s="4" t="n"/>
    </row>
    <row r="44">
      <c r="A44" s="3" t="inlineStr">
        <is>
          <t>Brazil|Federal Center for Technological Education Celso Suckow da Fonseca (CEFET/RJ)</t>
        </is>
      </c>
      <c r="B44" s="3" t="inlineStr">
        <is>
          <t>Brazil</t>
        </is>
      </c>
      <c r="C44" s="3" t="inlineStr">
        <is>
          <t>Рио-де-Жанейро</t>
        </is>
      </c>
      <c r="D44" s="3" t="inlineStr">
        <is>
          <t>Federal Center for Technological Education Celso Suckow da Fonseca (CEFET/RJ)</t>
        </is>
      </c>
      <c r="E44" s="3" t="inlineStr">
        <is>
          <t>Centro Federal de Educação Tecnológica Celso Suckow da Fonseca (Cefet/RJ) — с 2026 г. Universidade Federal de Ciência e Inovação do Rio de Janeiro (UFCIRJ)</t>
        </is>
      </c>
      <c r="F44" s="3" t="inlineStr">
        <is>
          <t>https://www.cefet-rj.br</t>
        </is>
      </c>
      <c r="G44" s="3" t="inlineStr"/>
      <c r="H44" s="3" t="inlineStr">
        <is>
          <t>THE2027: 2001+</t>
        </is>
      </c>
      <c r="I44" s="3" t="inlineStr"/>
      <c r="J44" s="4" t="inlineStr">
        <is>
          <t>не в рейтинге</t>
        </is>
      </c>
      <c r="K44" s="4" t="inlineStr">
        <is>
          <t>2001+</t>
        </is>
      </c>
      <c r="L44" s="4" t="inlineStr">
        <is>
          <t>нет в опубл. списке (опубликован только топ-15 страны)</t>
        </is>
      </c>
      <c r="M44" s="4" t="inlineStr">
        <is>
          <t>RUF 2025 (Folha)</t>
        </is>
      </c>
      <c r="N44" s="4" t="inlineStr">
        <is>
          <t>не в рейтинге</t>
        </is>
      </c>
      <c r="O44" s="4" t="inlineStr">
        <is>
          <t>https://www.timeshighereducation.com/world-university-rankings/2027/world-ranking
https://ruf.folha.uol.com.br/2025/ranking-de-universidades/principal/</t>
        </is>
      </c>
      <c r="P44" s="4" t="inlineStr">
        <is>
          <t>В RUF 2025 значится как CEFET/RJ (ещё не переименован в UFCIRJ); не университет по классификации MEC, в рейтинг университетов не входит — есть только в рейтингах курсов.</t>
        </is>
      </c>
    </row>
    <row r="45">
      <c r="A45" s="3" t="inlineStr">
        <is>
          <t>Brazil|Federal Institute of Amazonas (IFAM)</t>
        </is>
      </c>
      <c r="B45" s="3" t="inlineStr">
        <is>
          <t>Brazil</t>
        </is>
      </c>
      <c r="C45" s="3" t="inlineStr">
        <is>
          <t>Манаус</t>
        </is>
      </c>
      <c r="D45" s="3" t="inlineStr">
        <is>
          <t>Federal Institute of Amazonas (IFAM)</t>
        </is>
      </c>
      <c r="E45" s="3" t="inlineStr">
        <is>
          <t>Instituto Federal de Educação, Ciência e Tecnologia do Amazonas (IFAM)</t>
        </is>
      </c>
      <c r="F45" s="3" t="inlineStr">
        <is>
          <t>https://portal.ifam.edu.br</t>
        </is>
      </c>
      <c r="G45" s="3" t="inlineStr"/>
      <c r="H45" s="3" t="inlineStr"/>
      <c r="I45" s="3" t="inlineStr"/>
      <c r="J45" s="4" t="inlineStr">
        <is>
          <t>не в рейтинге</t>
        </is>
      </c>
      <c r="K45" s="4" t="inlineStr">
        <is>
          <t>не в рейтинге</t>
        </is>
      </c>
      <c r="L45" s="4" t="inlineStr">
        <is>
          <t>нет в опубл. списке (опубликован только топ-15 страны)</t>
        </is>
      </c>
      <c r="M45" s="4" t="inlineStr">
        <is>
          <t>RUF 2025 (Folha)</t>
        </is>
      </c>
      <c r="N45" s="4" t="inlineStr">
        <is>
          <t>не в рейтинге</t>
        </is>
      </c>
      <c r="O45" s="4" t="inlineStr">
        <is>
          <t>https://ruf.folha.uol.com.br/2025/ranking-de-universidades/principal/</t>
        </is>
      </c>
      <c r="P45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46">
      <c r="A46" s="3" t="inlineStr">
        <is>
          <t>Brazil|Federal Institute of Education, Science and Technology of Bahia</t>
        </is>
      </c>
      <c r="B46" s="3" t="inlineStr">
        <is>
          <t>Brazil</t>
        </is>
      </c>
      <c r="C46" s="3" t="inlineStr">
        <is>
          <t>Салвадор</t>
        </is>
      </c>
      <c r="D46" s="3" t="inlineStr">
        <is>
          <t>Federal Institute of Education, Science and Technology of Bahia</t>
        </is>
      </c>
      <c r="E46" s="3" t="inlineStr">
        <is>
          <t>Instituto Federal de Educação, Ciência e Tecnologia da Bahia (IFBA)</t>
        </is>
      </c>
      <c r="F46" s="3" t="inlineStr">
        <is>
          <t>https://portal.ifba.edu.br</t>
        </is>
      </c>
      <c r="G46" s="3" t="inlineStr"/>
      <c r="H46" s="3" t="inlineStr"/>
      <c r="I46" s="3" t="inlineStr"/>
      <c r="J46" s="4" t="inlineStr">
        <is>
          <t>не в рейтинге</t>
        </is>
      </c>
      <c r="K46" s="4" t="inlineStr">
        <is>
          <t>не в рейтинге</t>
        </is>
      </c>
      <c r="L46" s="4" t="inlineStr">
        <is>
          <t>нет в опубл. списке (опубликован только топ-15 страны)</t>
        </is>
      </c>
      <c r="M46" s="4" t="inlineStr">
        <is>
          <t>RUF 2025 (Folha)</t>
        </is>
      </c>
      <c r="N46" s="4" t="inlineStr">
        <is>
          <t>не в рейтинге</t>
        </is>
      </c>
      <c r="O46" s="4" t="inlineStr">
        <is>
          <t>https://ruf.folha.uol.com.br/2025/ranking-de-universidades/principal/</t>
        </is>
      </c>
      <c r="P46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47">
      <c r="A47" s="3" t="inlineStr">
        <is>
          <t>Brazil|Federal Institute of Education, Science and Technology of Ceará (IFCE)</t>
        </is>
      </c>
      <c r="B47" s="3" t="inlineStr">
        <is>
          <t>Brazil</t>
        </is>
      </c>
      <c r="C47" s="3" t="inlineStr">
        <is>
          <t>Форталеза</t>
        </is>
      </c>
      <c r="D47" s="3" t="inlineStr">
        <is>
          <t>Federal Institute of Education, Science and Technology of Ceará (IFCE)</t>
        </is>
      </c>
      <c r="E47" s="3" t="inlineStr">
        <is>
          <t>Instituto Federal de Educação, Ciência e Tecnologia do Ceará (IFCE)</t>
        </is>
      </c>
      <c r="F47" s="3" t="inlineStr">
        <is>
          <t>https://ifce.edu.br</t>
        </is>
      </c>
      <c r="G47" s="3" t="inlineStr"/>
      <c r="H47" s="3" t="inlineStr"/>
      <c r="I47" s="3" t="inlineStr"/>
      <c r="J47" s="4" t="inlineStr">
        <is>
          <t>не в рейтинге</t>
        </is>
      </c>
      <c r="K47" s="4" t="inlineStr">
        <is>
          <t>не в рейтинге</t>
        </is>
      </c>
      <c r="L47" s="4" t="inlineStr">
        <is>
          <t>нет в опубл. списке (опубликован только топ-15 страны)</t>
        </is>
      </c>
      <c r="M47" s="4" t="inlineStr">
        <is>
          <t>RUF 2025 (Folha)</t>
        </is>
      </c>
      <c r="N47" s="4" t="inlineStr">
        <is>
          <t>не в рейтинге</t>
        </is>
      </c>
      <c r="O47" s="4" t="inlineStr">
        <is>
          <t>https://ruf.folha.uol.com.br/2025/ranking-de-universidades/principal/</t>
        </is>
      </c>
      <c r="P47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48">
      <c r="A48" s="3" t="inlineStr">
        <is>
          <t>Brazil|Federal Institute of Education, Science and Technology of Goiás (IFG)</t>
        </is>
      </c>
      <c r="B48" s="3" t="inlineStr">
        <is>
          <t>Brazil</t>
        </is>
      </c>
      <c r="C48" s="3" t="inlineStr">
        <is>
          <t>Гоянія</t>
        </is>
      </c>
      <c r="D48" s="3" t="inlineStr">
        <is>
          <t>Federal Institute of Education, Science and Technology of Goiás (IFG)</t>
        </is>
      </c>
      <c r="E48" s="3" t="inlineStr">
        <is>
          <t>Instituto Federal de Educação, Ciência e Tecnologia de Goiás (IFG)</t>
        </is>
      </c>
      <c r="F48" s="3" t="inlineStr">
        <is>
          <t>https://www.ifg.edu.br</t>
        </is>
      </c>
      <c r="G48" s="3" t="inlineStr"/>
      <c r="H48" s="3" t="inlineStr"/>
      <c r="I48" s="3" t="inlineStr"/>
      <c r="J48" s="4" t="inlineStr">
        <is>
          <t>не в рейтинге</t>
        </is>
      </c>
      <c r="K48" s="4" t="inlineStr">
        <is>
          <t>не в рейтинге</t>
        </is>
      </c>
      <c r="L48" s="4" t="inlineStr">
        <is>
          <t>нет в опубл. списке (опубликован только топ-15 страны)</t>
        </is>
      </c>
      <c r="M48" s="4" t="inlineStr">
        <is>
          <t>RUF 2025 (Folha)</t>
        </is>
      </c>
      <c r="N48" s="4" t="inlineStr">
        <is>
          <t>не в рейтинге</t>
        </is>
      </c>
      <c r="O48" s="4" t="inlineStr">
        <is>
          <t>https://ruf.folha.uol.com.br/2025/ranking-de-universidades/principal/</t>
        </is>
      </c>
      <c r="P48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49">
      <c r="A49" s="3" t="inlineStr">
        <is>
          <t>Brazil|Federal Institute of Education, Science and Technology of Pará (IFPA)</t>
        </is>
      </c>
      <c r="B49" s="3" t="inlineStr">
        <is>
          <t>Brazil</t>
        </is>
      </c>
      <c r="C49" s="3" t="inlineStr">
        <is>
          <t>Белен</t>
        </is>
      </c>
      <c r="D49" s="3" t="inlineStr">
        <is>
          <t>Federal Institute of Education, Science and Technology of Pará (IFPA)</t>
        </is>
      </c>
      <c r="E49" s="3" t="inlineStr">
        <is>
          <t>Instituto Federal de Educação, Ciência e Tecnologia do Pará (IFPA)</t>
        </is>
      </c>
      <c r="F49" s="3" t="inlineStr">
        <is>
          <t>https://ifpa.edu.br</t>
        </is>
      </c>
      <c r="G49" s="3" t="inlineStr"/>
      <c r="H49" s="3" t="inlineStr"/>
      <c r="I49" s="3" t="inlineStr"/>
      <c r="J49" s="4" t="inlineStr">
        <is>
          <t>не в рейтинге</t>
        </is>
      </c>
      <c r="K49" s="4" t="inlineStr">
        <is>
          <t>не в рейтинге</t>
        </is>
      </c>
      <c r="L49" s="4" t="inlineStr">
        <is>
          <t>нет в опубл. списке (опубликован только топ-15 страны)</t>
        </is>
      </c>
      <c r="M49" s="4" t="inlineStr">
        <is>
          <t>RUF 2025 (Folha)</t>
        </is>
      </c>
      <c r="N49" s="4" t="inlineStr">
        <is>
          <t>не в рейтинге</t>
        </is>
      </c>
      <c r="O49" s="4" t="inlineStr">
        <is>
          <t>https://ruf.folha.uol.com.br/2025/ranking-de-universidades/principal/</t>
        </is>
      </c>
      <c r="P49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0">
      <c r="A50" s="3" t="inlineStr">
        <is>
          <t>Brazil|Federal Institute of Education, Science and Technology of Rio Grande do Norte (IFRN)</t>
        </is>
      </c>
      <c r="B50" s="3" t="inlineStr">
        <is>
          <t>Brazil</t>
        </is>
      </c>
      <c r="C50" s="3" t="inlineStr">
        <is>
          <t>Натал</t>
        </is>
      </c>
      <c r="D50" s="3" t="inlineStr">
        <is>
          <t>Federal Institute of Education, Science and Technology of Rio Grande do Norte (IFRN)</t>
        </is>
      </c>
      <c r="E50" s="3" t="inlineStr">
        <is>
          <t>Instituto Federal de Educação, Ciência e Tecnologia do Rio Grande do Norte (IFRN)</t>
        </is>
      </c>
      <c r="F50" s="3" t="inlineStr">
        <is>
          <t>https://portal.ifrn.edu.br</t>
        </is>
      </c>
      <c r="G50" s="3" t="inlineStr"/>
      <c r="H50" s="3" t="inlineStr"/>
      <c r="I50" s="3" t="inlineStr"/>
      <c r="J50" s="4" t="inlineStr">
        <is>
          <t>не в рейтинге</t>
        </is>
      </c>
      <c r="K50" s="4" t="inlineStr">
        <is>
          <t>не в рейтинге</t>
        </is>
      </c>
      <c r="L50" s="4" t="inlineStr">
        <is>
          <t>нет в опубл. списке (опубликован только топ-15 страны)</t>
        </is>
      </c>
      <c r="M50" s="4" t="inlineStr">
        <is>
          <t>RUF 2025 (Folha)</t>
        </is>
      </c>
      <c r="N50" s="4" t="inlineStr">
        <is>
          <t>не в рейтинге</t>
        </is>
      </c>
      <c r="O50" s="4" t="inlineStr">
        <is>
          <t>https://ruf.folha.uol.com.br/2025/ranking-de-universidades/principal/</t>
        </is>
      </c>
      <c r="P50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1">
      <c r="A51" s="3" t="inlineStr">
        <is>
          <t>Brazil|Federal Institute of Minas Gerais</t>
        </is>
      </c>
      <c r="B51" s="3" t="inlineStr">
        <is>
          <t>Brazil</t>
        </is>
      </c>
      <c r="C51" s="3" t="inlineStr">
        <is>
          <t>Белу-Оризонти</t>
        </is>
      </c>
      <c r="D51" s="3" t="inlineStr">
        <is>
          <t>Federal Institute of Minas Gerais</t>
        </is>
      </c>
      <c r="E51" s="3" t="inlineStr">
        <is>
          <t>Instituto Federal de Educação, Ciência e Tecnologia de Minas Gerais (IFMG)</t>
        </is>
      </c>
      <c r="F51" s="3" t="inlineStr">
        <is>
          <t>https://www.ifmg.edu.br</t>
        </is>
      </c>
      <c r="G51" s="3" t="inlineStr"/>
      <c r="H51" s="3" t="inlineStr"/>
      <c r="I51" s="3" t="inlineStr"/>
      <c r="J51" s="4" t="inlineStr">
        <is>
          <t>не в рейтинге</t>
        </is>
      </c>
      <c r="K51" s="4" t="inlineStr">
        <is>
          <t>не в рейтинге</t>
        </is>
      </c>
      <c r="L51" s="4" t="inlineStr">
        <is>
          <t>нет в опубл. списке (опубликован только топ-15 страны)</t>
        </is>
      </c>
      <c r="M51" s="4" t="inlineStr">
        <is>
          <t>RUF 2025 (Folha)</t>
        </is>
      </c>
      <c r="N51" s="4" t="inlineStr">
        <is>
          <t>не в рейтинге</t>
        </is>
      </c>
      <c r="O51" s="4" t="inlineStr">
        <is>
          <t>https://ruf.folha.uol.com.br/2025/ranking-de-universidades/principal/</t>
        </is>
      </c>
      <c r="P51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2">
      <c r="A52" s="3" t="inlineStr">
        <is>
          <t>Brazil|Federal Institute of Paraíba (IFPB)</t>
        </is>
      </c>
      <c r="B52" s="3" t="inlineStr">
        <is>
          <t>Brazil</t>
        </is>
      </c>
      <c r="C52" s="3" t="inlineStr">
        <is>
          <t>Жуан-Песоа</t>
        </is>
      </c>
      <c r="D52" s="3" t="inlineStr">
        <is>
          <t>Federal Institute of Paraíba (IFPB)</t>
        </is>
      </c>
      <c r="E52" s="3" t="inlineStr">
        <is>
          <t>Instituto Federal de Educação, Ciência e Tecnologia da Paraíba (IFPB)</t>
        </is>
      </c>
      <c r="F52" s="3" t="inlineStr">
        <is>
          <t>https://www.ifpb.edu.br</t>
        </is>
      </c>
      <c r="G52" s="3" t="inlineStr"/>
      <c r="H52" s="3" t="inlineStr"/>
      <c r="I52" s="3" t="inlineStr"/>
      <c r="J52" s="4" t="inlineStr">
        <is>
          <t>не в рейтинге</t>
        </is>
      </c>
      <c r="K52" s="4" t="inlineStr">
        <is>
          <t>не в рейтинге</t>
        </is>
      </c>
      <c r="L52" s="4" t="inlineStr">
        <is>
          <t>нет в опубл. списке (опубликован только топ-15 страны)</t>
        </is>
      </c>
      <c r="M52" s="4" t="inlineStr">
        <is>
          <t>RUF 2025 (Folha)</t>
        </is>
      </c>
      <c r="N52" s="4" t="inlineStr">
        <is>
          <t>не в рейтинге</t>
        </is>
      </c>
      <c r="O52" s="4" t="inlineStr">
        <is>
          <t>https://ruf.folha.uol.com.br/2025/ranking-de-universidades/principal/</t>
        </is>
      </c>
      <c r="P52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3">
      <c r="A53" s="3" t="inlineStr">
        <is>
          <t>Brazil|Federal Institute of Pernambuco (IFPE)</t>
        </is>
      </c>
      <c r="B53" s="3" t="inlineStr">
        <is>
          <t>Brazil</t>
        </is>
      </c>
      <c r="C53" s="3" t="inlineStr">
        <is>
          <t>Ресифи</t>
        </is>
      </c>
      <c r="D53" s="3" t="inlineStr">
        <is>
          <t>Federal Institute of Pernambuco (IFPE)</t>
        </is>
      </c>
      <c r="E53" s="3" t="inlineStr">
        <is>
          <t>Instituto Federal de Educação, Ciência e Tecnologia de Pernambuco (IFPE)</t>
        </is>
      </c>
      <c r="F53" s="3" t="inlineStr">
        <is>
          <t>https://portal.ifpe.edu.br</t>
        </is>
      </c>
      <c r="G53" s="3" t="inlineStr"/>
      <c r="H53" s="3" t="inlineStr"/>
      <c r="I53" s="3" t="inlineStr"/>
      <c r="J53" s="4" t="inlineStr">
        <is>
          <t>не в рейтинге</t>
        </is>
      </c>
      <c r="K53" s="4" t="inlineStr">
        <is>
          <t>не в рейтинге</t>
        </is>
      </c>
      <c r="L53" s="4" t="inlineStr">
        <is>
          <t>нет в опубл. списке (опубликован только топ-15 страны)</t>
        </is>
      </c>
      <c r="M53" s="4" t="inlineStr">
        <is>
          <t>RUF 2025 (Folha)</t>
        </is>
      </c>
      <c r="N53" s="4" t="inlineStr">
        <is>
          <t>не в рейтинге</t>
        </is>
      </c>
      <c r="O53" s="4" t="inlineStr">
        <is>
          <t>https://ruf.folha.uol.com.br/2025/ranking-de-universidades/principal/</t>
        </is>
      </c>
      <c r="P53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4">
      <c r="A54" s="3" t="inlineStr">
        <is>
          <t>Brazil|Federal Institute of Rio Grande do Sul</t>
        </is>
      </c>
      <c r="B54" s="3" t="inlineStr">
        <is>
          <t>Brazil</t>
        </is>
      </c>
      <c r="C54" s="3" t="inlineStr">
        <is>
          <t>Бенту-Гонсалвис</t>
        </is>
      </c>
      <c r="D54" s="3" t="inlineStr">
        <is>
          <t>Federal Institute of Rio Grande do Sul</t>
        </is>
      </c>
      <c r="E54" s="3" t="inlineStr">
        <is>
          <t>Instituto Federal de Educação, Ciência e Tecnologia do Rio Grande do Sul (IFRS)</t>
        </is>
      </c>
      <c r="F54" s="3" t="inlineStr">
        <is>
          <t>https://ifrs.edu.br</t>
        </is>
      </c>
      <c r="G54" s="3" t="inlineStr"/>
      <c r="H54" s="3" t="inlineStr"/>
      <c r="I54" s="3" t="inlineStr"/>
      <c r="J54" s="4" t="inlineStr">
        <is>
          <t>не в рейтинге</t>
        </is>
      </c>
      <c r="K54" s="4" t="inlineStr">
        <is>
          <t>не в рейтинге</t>
        </is>
      </c>
      <c r="L54" s="4" t="inlineStr">
        <is>
          <t>нет в опубл. списке (опубликован только топ-15 страны)</t>
        </is>
      </c>
      <c r="M54" s="4" t="inlineStr">
        <is>
          <t>RUF 2025 (Folha)</t>
        </is>
      </c>
      <c r="N54" s="4" t="inlineStr">
        <is>
          <t>не в рейтинге</t>
        </is>
      </c>
      <c r="O54" s="4" t="inlineStr">
        <is>
          <t>https://ruf.folha.uol.com.br/2025/ranking-de-universidades/principal/</t>
        </is>
      </c>
      <c r="P54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5">
      <c r="A55" s="3" t="inlineStr">
        <is>
          <t>Brazil|Federal Institute of Santa Catarina</t>
        </is>
      </c>
      <c r="B55" s="3" t="inlineStr">
        <is>
          <t>Brazil</t>
        </is>
      </c>
      <c r="C55" s="3" t="inlineStr">
        <is>
          <t>Флорианополис</t>
        </is>
      </c>
      <c r="D55" s="3" t="inlineStr">
        <is>
          <t>Federal Institute of Santa Catarina</t>
        </is>
      </c>
      <c r="E55" s="3" t="inlineStr">
        <is>
          <t>Instituto Federal de Educação, Ciência e Tecnologia de Santa Catarina (IFSC)</t>
        </is>
      </c>
      <c r="F55" s="3" t="inlineStr">
        <is>
          <t>https://www.ifsc.edu.br</t>
        </is>
      </c>
      <c r="G55" s="3" t="inlineStr"/>
      <c r="H55" s="3" t="inlineStr"/>
      <c r="I55" s="3" t="inlineStr"/>
      <c r="J55" s="4" t="inlineStr">
        <is>
          <t>не в рейтинге</t>
        </is>
      </c>
      <c r="K55" s="4" t="inlineStr">
        <is>
          <t>не в рейтинге</t>
        </is>
      </c>
      <c r="L55" s="4" t="inlineStr">
        <is>
          <t>нет в опубл. списке (опубликован только топ-15 страны)</t>
        </is>
      </c>
      <c r="M55" s="4" t="inlineStr">
        <is>
          <t>RUF 2025 (Folha)</t>
        </is>
      </c>
      <c r="N55" s="4" t="inlineStr">
        <is>
          <t>не в рейтинге</t>
        </is>
      </c>
      <c r="O55" s="4" t="inlineStr">
        <is>
          <t>https://ruf.folha.uol.com.br/2025/ranking-de-universidades/principal/</t>
        </is>
      </c>
      <c r="P55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6">
      <c r="A56" s="3" t="inlineStr">
        <is>
          <t>Brazil|Federal Institute of São Paulo</t>
        </is>
      </c>
      <c r="B56" s="3" t="inlineStr">
        <is>
          <t>Brazil</t>
        </is>
      </c>
      <c r="C56" s="3" t="inlineStr">
        <is>
          <t>Сан-Паулу</t>
        </is>
      </c>
      <c r="D56" s="3" t="inlineStr">
        <is>
          <t>Federal Institute of São Paulo</t>
        </is>
      </c>
      <c r="E56" s="3" t="inlineStr">
        <is>
          <t>Instituto Federal de Educação, Ciência e Tecnologia de São Paulo (IFSP)</t>
        </is>
      </c>
      <c r="F56" s="3" t="inlineStr">
        <is>
          <t>https://www.ifsp.edu.br</t>
        </is>
      </c>
      <c r="G56" s="3" t="inlineStr"/>
      <c r="H56" s="3" t="inlineStr"/>
      <c r="I56" s="3" t="inlineStr"/>
      <c r="J56" s="4" t="inlineStr">
        <is>
          <t>не в рейтинге</t>
        </is>
      </c>
      <c r="K56" s="4" t="inlineStr">
        <is>
          <t>не в рейтинге</t>
        </is>
      </c>
      <c r="L56" s="4" t="inlineStr">
        <is>
          <t>нет в опубл. списке (опубликован только топ-15 страны)</t>
        </is>
      </c>
      <c r="M56" s="4" t="inlineStr">
        <is>
          <t>RUF 2025 (Folha)</t>
        </is>
      </c>
      <c r="N56" s="4" t="inlineStr">
        <is>
          <t>не в рейтинге</t>
        </is>
      </c>
      <c r="O56" s="4" t="inlineStr">
        <is>
          <t>https://ruf.folha.uol.com.br/2025/ranking-de-universidades/principal/</t>
        </is>
      </c>
      <c r="P56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57">
      <c r="A57" s="3" t="inlineStr">
        <is>
          <t>Brazil|Federal Rural University of Pernambuco (UFRPE)</t>
        </is>
      </c>
      <c r="B57" s="3" t="inlineStr">
        <is>
          <t>Brazil</t>
        </is>
      </c>
      <c r="C57" s="3" t="inlineStr">
        <is>
          <t>Ресифи</t>
        </is>
      </c>
      <c r="D57" s="3" t="inlineStr">
        <is>
          <t>Federal Rural University of Pernambuco (UFRPE)</t>
        </is>
      </c>
      <c r="E57" s="3" t="inlineStr">
        <is>
          <t>Universidade Federal Rural de Pernambuco (UFRPE)</t>
        </is>
      </c>
      <c r="F57" s="3" t="inlineStr">
        <is>
          <t>https://www.ufrpe.br</t>
        </is>
      </c>
      <c r="G57" s="3" t="inlineStr"/>
      <c r="H57" s="3" t="inlineStr">
        <is>
          <t>THE2027: 2001+</t>
        </is>
      </c>
      <c r="I57" s="3" t="inlineStr"/>
      <c r="J57" s="4" t="inlineStr">
        <is>
          <t>не в рейтинге</t>
        </is>
      </c>
      <c r="K57" s="4" t="inlineStr">
        <is>
          <t>2001+</t>
        </is>
      </c>
      <c r="L57" s="4" t="inlineStr">
        <is>
          <t>нет в опубл. списке (опубликован только топ-15 страны)</t>
        </is>
      </c>
      <c r="M57" s="4" t="inlineStr">
        <is>
          <t>RUF 2025 (Folha)</t>
        </is>
      </c>
      <c r="N57" s="4" t="inlineStr">
        <is>
          <t>55</t>
        </is>
      </c>
      <c r="O57" s="4" t="inlineStr">
        <is>
          <t>https://www.timeshighereducation.com/world-university-rankings/2027/world-ranking
https://ruf.folha.uol.com.br/2025/ranking-de-universidades/principal/</t>
        </is>
      </c>
      <c r="P57" s="4" t="n"/>
    </row>
    <row r="58">
      <c r="A58" s="3" t="inlineStr">
        <is>
          <t>Brazil|Federal Rural University of Rio de Janeiro</t>
        </is>
      </c>
      <c r="B58" s="3" t="inlineStr">
        <is>
          <t>Brazil</t>
        </is>
      </c>
      <c r="C58" s="3" t="inlineStr">
        <is>
          <t>Серопедика</t>
        </is>
      </c>
      <c r="D58" s="3" t="inlineStr">
        <is>
          <t>Federal Rural University of Rio de Janeiro</t>
        </is>
      </c>
      <c r="E58" s="3" t="inlineStr">
        <is>
          <t>Universidade Federal Rural do Rio de Janeiro (UFRRJ)</t>
        </is>
      </c>
      <c r="F58" s="3" t="inlineStr">
        <is>
          <t>https://portal.ufrrj.br</t>
        </is>
      </c>
      <c r="G58" s="3" t="inlineStr"/>
      <c r="H58" s="3" t="inlineStr"/>
      <c r="I58" s="3" t="inlineStr"/>
      <c r="J58" s="4" t="inlineStr">
        <is>
          <t>не в рейтинге</t>
        </is>
      </c>
      <c r="K58" s="4" t="inlineStr">
        <is>
          <t>не в рейтинге</t>
        </is>
      </c>
      <c r="L58" s="4" t="inlineStr">
        <is>
          <t>нет в опубл. списке (опубликован только топ-15 страны)</t>
        </is>
      </c>
      <c r="M58" s="4" t="inlineStr">
        <is>
          <t>RUF 2025 (Folha)</t>
        </is>
      </c>
      <c r="N58" s="4" t="inlineStr">
        <is>
          <t>51</t>
        </is>
      </c>
      <c r="O58" s="4" t="inlineStr">
        <is>
          <t>https://ruf.folha.uol.com.br/2025/ranking-de-universidades/principal/</t>
        </is>
      </c>
      <c r="P58" s="4" t="n"/>
    </row>
    <row r="59">
      <c r="A59" s="3" t="inlineStr">
        <is>
          <t>Brazil|Federal Rural University of the Semi-Arid Region (UFERSA)</t>
        </is>
      </c>
      <c r="B59" s="3" t="inlineStr">
        <is>
          <t>Brazil</t>
        </is>
      </c>
      <c r="C59" s="3" t="inlineStr">
        <is>
          <t>Моссоро</t>
        </is>
      </c>
      <c r="D59" s="3" t="inlineStr">
        <is>
          <t>Federal Rural University of the Semi-Arid Region (UFERSA)</t>
        </is>
      </c>
      <c r="E59" s="3" t="inlineStr">
        <is>
          <t>Universidade Federal Rural do Semi-Árido (UFERSA)</t>
        </is>
      </c>
      <c r="F59" s="3" t="inlineStr">
        <is>
          <t>https://ufersa.edu.br</t>
        </is>
      </c>
      <c r="G59" s="3" t="inlineStr"/>
      <c r="H59" s="3" t="inlineStr">
        <is>
          <t>THE2027: 2001+</t>
        </is>
      </c>
      <c r="I59" s="3" t="inlineStr"/>
      <c r="J59" s="4" t="inlineStr">
        <is>
          <t>не в рейтинге</t>
        </is>
      </c>
      <c r="K59" s="4" t="inlineStr">
        <is>
          <t>2001+</t>
        </is>
      </c>
      <c r="L59" s="4" t="inlineStr">
        <is>
          <t>нет в опубл. списке (опубликован только топ-15 страны)</t>
        </is>
      </c>
      <c r="M59" s="4" t="inlineStr">
        <is>
          <t>RUF 2025 (Folha)</t>
        </is>
      </c>
      <c r="N59" s="4" t="inlineStr">
        <is>
          <t>80</t>
        </is>
      </c>
      <c r="O59" s="4" t="inlineStr">
        <is>
          <t>https://www.timeshighereducation.com/world-university-rankings/2027/world-ranking
https://ruf.folha.uol.com.br/2025/ranking-de-universidades/principal/</t>
        </is>
      </c>
      <c r="P59" s="4" t="n"/>
    </row>
    <row r="60">
      <c r="A60" s="3" t="inlineStr">
        <is>
          <t>Brazil|Federal University of ABC (UFABC)</t>
        </is>
      </c>
      <c r="B60" s="3" t="inlineStr">
        <is>
          <t>Brazil</t>
        </is>
      </c>
      <c r="C60" s="3" t="inlineStr">
        <is>
          <t>Санту-Андре</t>
        </is>
      </c>
      <c r="D60" s="3" t="inlineStr">
        <is>
          <t>Federal University of ABC (UFABC)</t>
        </is>
      </c>
      <c r="E60" s="3" t="inlineStr">
        <is>
          <t>Universidade Federal do ABC (UFABC)</t>
        </is>
      </c>
      <c r="F60" s="3" t="inlineStr">
        <is>
          <t>https://www.ufabc.edu.br</t>
        </is>
      </c>
      <c r="G60" s="3" t="inlineStr"/>
      <c r="H60" s="3" t="inlineStr">
        <is>
          <t>THE2027: 1601–1800</t>
        </is>
      </c>
      <c r="I60" s="3" t="inlineStr"/>
      <c r="J60" s="4" t="inlineStr">
        <is>
          <t>не в рейтинге</t>
        </is>
      </c>
      <c r="K60" s="4" t="inlineStr">
        <is>
          <t>1601–1800</t>
        </is>
      </c>
      <c r="L60" s="4" t="inlineStr">
        <is>
          <t>нет в опубл. списке (опубликован только топ-15 страны)</t>
        </is>
      </c>
      <c r="M60" s="4" t="inlineStr">
        <is>
          <t>RUF 2025 (Folha)</t>
        </is>
      </c>
      <c r="N60" s="4" t="inlineStr">
        <is>
          <t>35</t>
        </is>
      </c>
      <c r="O60" s="4" t="inlineStr">
        <is>
          <t>https://www.timeshighereducation.com/world-university-rankings/2027/world-ranking
https://ruf.folha.uol.com.br/2025/ranking-de-universidades/principal/</t>
        </is>
      </c>
      <c r="P60" s="4" t="n"/>
    </row>
    <row r="61">
      <c r="A61" s="3" t="inlineStr">
        <is>
          <t>Brazil|Federal University of Acre (UFAC)</t>
        </is>
      </c>
      <c r="B61" s="3" t="inlineStr">
        <is>
          <t>Brazil</t>
        </is>
      </c>
      <c r="C61" s="3" t="inlineStr">
        <is>
          <t>Риу-Бранку</t>
        </is>
      </c>
      <c r="D61" s="3" t="inlineStr">
        <is>
          <t>Federal University of Acre (UFAC)</t>
        </is>
      </c>
      <c r="E61" s="3" t="inlineStr">
        <is>
          <t>Universidade Federal do Acre (UFAC)</t>
        </is>
      </c>
      <c r="F61" s="3" t="inlineStr">
        <is>
          <t>https://www.ufac.br</t>
        </is>
      </c>
      <c r="G61" s="3" t="inlineStr"/>
      <c r="H61" s="3" t="inlineStr"/>
      <c r="I61" s="3" t="inlineStr"/>
      <c r="J61" s="4" t="inlineStr">
        <is>
          <t>не в рейтинге</t>
        </is>
      </c>
      <c r="K61" s="4" t="inlineStr">
        <is>
          <t>не в рейтинге</t>
        </is>
      </c>
      <c r="L61" s="4" t="inlineStr">
        <is>
          <t>нет в опубл. списке (опубликован только топ-15 страны)</t>
        </is>
      </c>
      <c r="M61" s="4" t="inlineStr">
        <is>
          <t>RUF 2025 (Folha)</t>
        </is>
      </c>
      <c r="N61" s="4" t="inlineStr">
        <is>
          <t>128</t>
        </is>
      </c>
      <c r="O61" s="4" t="inlineStr">
        <is>
          <t>https://ruf.folha.uol.com.br/2025/ranking-de-universidades/principal/</t>
        </is>
      </c>
      <c r="P61" s="4" t="n"/>
    </row>
    <row r="62">
      <c r="A62" s="3" t="inlineStr">
        <is>
          <t>Brazil|Federal University of Alagoas (UFAL)</t>
        </is>
      </c>
      <c r="B62" s="3" t="inlineStr">
        <is>
          <t>Brazil</t>
        </is>
      </c>
      <c r="C62" s="3" t="inlineStr">
        <is>
          <t>Масейо</t>
        </is>
      </c>
      <c r="D62" s="3" t="inlineStr">
        <is>
          <t>Federal University of Alagoas (UFAL)</t>
        </is>
      </c>
      <c r="E62" s="3" t="inlineStr">
        <is>
          <t>Universidade Federal de Alagoas (UFAL)</t>
        </is>
      </c>
      <c r="F62" s="3" t="inlineStr">
        <is>
          <t>https://ufal.br</t>
        </is>
      </c>
      <c r="G62" s="3" t="inlineStr"/>
      <c r="H62" s="3" t="inlineStr"/>
      <c r="I62" s="3" t="inlineStr"/>
      <c r="J62" s="4" t="inlineStr">
        <is>
          <t>не в рейтинге</t>
        </is>
      </c>
      <c r="K62" s="4" t="inlineStr">
        <is>
          <t>не в рейтинге</t>
        </is>
      </c>
      <c r="L62" s="4" t="inlineStr">
        <is>
          <t>нет в опубл. списке (опубликован только топ-15 страны)</t>
        </is>
      </c>
      <c r="M62" s="4" t="inlineStr">
        <is>
          <t>RUF 2025 (Folha)</t>
        </is>
      </c>
      <c r="N62" s="4" t="inlineStr">
        <is>
          <t>38</t>
        </is>
      </c>
      <c r="O62" s="4" t="inlineStr">
        <is>
          <t>https://ruf.folha.uol.com.br/2025/ranking-de-universidades/principal/</t>
        </is>
      </c>
      <c r="P62" s="4" t="n"/>
    </row>
    <row r="63">
      <c r="A63" s="3" t="inlineStr">
        <is>
          <t>Brazil|Federal University of Alfenas (UNIFAL-MG)</t>
        </is>
      </c>
      <c r="B63" s="3" t="inlineStr">
        <is>
          <t>Brazil</t>
        </is>
      </c>
      <c r="C63" s="3" t="inlineStr">
        <is>
          <t>Алфенас</t>
        </is>
      </c>
      <c r="D63" s="3" t="inlineStr">
        <is>
          <t>Federal University of Alfenas (UNIFAL-MG)</t>
        </is>
      </c>
      <c r="E63" s="3" t="inlineStr">
        <is>
          <t>Universidade Federal de Alfenas (UNIFAL-MG)</t>
        </is>
      </c>
      <c r="F63" s="3" t="inlineStr">
        <is>
          <t>https://www.unifal-mg.edu.br</t>
        </is>
      </c>
      <c r="G63" s="3" t="inlineStr"/>
      <c r="H63" s="3" t="inlineStr"/>
      <c r="I63" s="3" t="inlineStr"/>
      <c r="J63" s="4" t="inlineStr">
        <is>
          <t>не в рейтинге</t>
        </is>
      </c>
      <c r="K63" s="4" t="inlineStr">
        <is>
          <t>не в рейтинге</t>
        </is>
      </c>
      <c r="L63" s="4" t="inlineStr">
        <is>
          <t>нет в опубл. списке (опубликован только топ-15 страны)</t>
        </is>
      </c>
      <c r="M63" s="4" t="inlineStr">
        <is>
          <t>RUF 2025 (Folha)</t>
        </is>
      </c>
      <c r="N63" s="4" t="inlineStr">
        <is>
          <t>47</t>
        </is>
      </c>
      <c r="O63" s="4" t="inlineStr">
        <is>
          <t>https://ruf.folha.uol.com.br/2025/ranking-de-universidades/principal/</t>
        </is>
      </c>
      <c r="P63" s="4" t="n"/>
    </row>
    <row r="64">
      <c r="A64" s="3" t="inlineStr">
        <is>
          <t>Brazil|Federal University of Amapá (UNIFAP)</t>
        </is>
      </c>
      <c r="B64" s="3" t="inlineStr">
        <is>
          <t>Brazil</t>
        </is>
      </c>
      <c r="C64" s="3" t="inlineStr">
        <is>
          <t>Макапа</t>
        </is>
      </c>
      <c r="D64" s="3" t="inlineStr">
        <is>
          <t>Federal University of Amapá (UNIFAP)</t>
        </is>
      </c>
      <c r="E64" s="3" t="inlineStr">
        <is>
          <t>Universidade Federal do Amapá (UNIFAP)</t>
        </is>
      </c>
      <c r="F64" s="3" t="inlineStr">
        <is>
          <t>https://www.unifap.br</t>
        </is>
      </c>
      <c r="G64" s="3" t="inlineStr"/>
      <c r="H64" s="3" t="inlineStr"/>
      <c r="I64" s="3" t="inlineStr"/>
      <c r="J64" s="4" t="inlineStr">
        <is>
          <t>не в рейтинге</t>
        </is>
      </c>
      <c r="K64" s="4" t="inlineStr">
        <is>
          <t>не в рейтинге</t>
        </is>
      </c>
      <c r="L64" s="4" t="inlineStr">
        <is>
          <t>нет в опубл. списке (опубликован только топ-15 страны)</t>
        </is>
      </c>
      <c r="M64" s="4" t="inlineStr">
        <is>
          <t>RUF 2025 (Folha)</t>
        </is>
      </c>
      <c r="N64" s="4" t="inlineStr">
        <is>
          <t>100</t>
        </is>
      </c>
      <c r="O64" s="4" t="inlineStr">
        <is>
          <t>https://ruf.folha.uol.com.br/2025/ranking-de-universidades/principal/</t>
        </is>
      </c>
      <c r="P64" s="4" t="n"/>
    </row>
    <row r="65">
      <c r="A65" s="3" t="inlineStr">
        <is>
          <t>Brazil|Federal University of Amazonas</t>
        </is>
      </c>
      <c r="B65" s="3" t="inlineStr">
        <is>
          <t>Brazil</t>
        </is>
      </c>
      <c r="C65" s="3" t="inlineStr">
        <is>
          <t>Манаус</t>
        </is>
      </c>
      <c r="D65" s="3" t="inlineStr">
        <is>
          <t>Federal University of Amazonas</t>
        </is>
      </c>
      <c r="E65" s="3" t="inlineStr">
        <is>
          <t>Universidade Federal do Amazonas (UFAM)</t>
        </is>
      </c>
      <c r="F65" s="3" t="inlineStr">
        <is>
          <t>https://ufam.edu.br</t>
        </is>
      </c>
      <c r="G65" s="3" t="inlineStr"/>
      <c r="H65" s="3" t="inlineStr"/>
      <c r="I65" s="3" t="inlineStr"/>
      <c r="J65" s="4" t="inlineStr">
        <is>
          <t>не в рейтинге</t>
        </is>
      </c>
      <c r="K65" s="4" t="inlineStr">
        <is>
          <t>не в рейтинге</t>
        </is>
      </c>
      <c r="L65" s="4" t="inlineStr">
        <is>
          <t>нет в опубл. списке (опубликован только топ-15 страны)</t>
        </is>
      </c>
      <c r="M65" s="4" t="inlineStr">
        <is>
          <t>RUF 2025 (Folha)</t>
        </is>
      </c>
      <c r="N65" s="4" t="inlineStr">
        <is>
          <t>48</t>
        </is>
      </c>
      <c r="O65" s="4" t="inlineStr">
        <is>
          <t>https://ruf.folha.uol.com.br/2025/ranking-de-universidades/principal/</t>
        </is>
      </c>
      <c r="P65" s="4" t="n"/>
    </row>
    <row r="66">
      <c r="A66" s="3" t="inlineStr">
        <is>
          <t>Brazil|Federal University of Bahia (UFBA)</t>
        </is>
      </c>
      <c r="B66" s="3" t="inlineStr">
        <is>
          <t>Brazil</t>
        </is>
      </c>
      <c r="C66" s="3" t="inlineStr">
        <is>
          <t>Салвадор</t>
        </is>
      </c>
      <c r="D66" s="3" t="inlineStr">
        <is>
          <t>Federal University of Bahia (UFBA)</t>
        </is>
      </c>
      <c r="E66" s="3" t="inlineStr">
        <is>
          <t>Universidade Federal da Bahia (UFBA)</t>
        </is>
      </c>
      <c r="F66" s="3" t="inlineStr">
        <is>
          <t>https://ufba.br</t>
        </is>
      </c>
      <c r="G66" s="3" t="inlineStr">
        <is>
          <t>QS2027: 1201–1400</t>
        </is>
      </c>
      <c r="H66" s="3" t="inlineStr">
        <is>
          <t>THE2027: 1401–1600</t>
        </is>
      </c>
      <c r="I66" s="3" t="inlineStr"/>
      <c r="J66" s="4" t="inlineStr">
        <is>
          <t>1201–1400</t>
        </is>
      </c>
      <c r="K66" s="4" t="inlineStr">
        <is>
          <t>1401–1600</t>
        </is>
      </c>
      <c r="L66" s="4" t="inlineStr">
        <is>
          <t>696</t>
        </is>
      </c>
      <c r="M66" s="4" t="inlineStr">
        <is>
          <t>RUF 2025 (Folha)</t>
        </is>
      </c>
      <c r="N66" s="4" t="inlineStr">
        <is>
          <t>14</t>
        </is>
      </c>
      <c r="O6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66" s="4" t="n"/>
    </row>
    <row r="67">
      <c r="A67" s="3" t="inlineStr">
        <is>
          <t>Brazil|Federal University of Campina Grande (UFCG)</t>
        </is>
      </c>
      <c r="B67" s="3" t="inlineStr">
        <is>
          <t>Brazil</t>
        </is>
      </c>
      <c r="C67" s="3" t="inlineStr">
        <is>
          <t>Кампина-Гранди</t>
        </is>
      </c>
      <c r="D67" s="3" t="inlineStr">
        <is>
          <t>Federal University of Campina Grande (UFCG)</t>
        </is>
      </c>
      <c r="E67" s="3" t="inlineStr">
        <is>
          <t>Universidade Federal de Campina Grande (UFCG)</t>
        </is>
      </c>
      <c r="F67" s="3" t="inlineStr">
        <is>
          <t>https://www.gov.br/ufcg/pt-br</t>
        </is>
      </c>
      <c r="G67" s="3" t="inlineStr"/>
      <c r="H67" s="3" t="inlineStr"/>
      <c r="I67" s="3" t="inlineStr"/>
      <c r="J67" s="4" t="inlineStr">
        <is>
          <t>не в рейтинге</t>
        </is>
      </c>
      <c r="K67" s="4" t="inlineStr">
        <is>
          <t>не в рейтинге</t>
        </is>
      </c>
      <c r="L67" s="4" t="inlineStr">
        <is>
          <t>нет в опубл. списке (опубликован только топ-15 страны)</t>
        </is>
      </c>
      <c r="M67" s="4" t="inlineStr">
        <is>
          <t>RUF 2025 (Folha)</t>
        </is>
      </c>
      <c r="N67" s="4" t="inlineStr">
        <is>
          <t>39</t>
        </is>
      </c>
      <c r="O67" s="4" t="inlineStr">
        <is>
          <t>https://ruf.folha.uol.com.br/2025/ranking-de-universidades/principal/</t>
        </is>
      </c>
      <c r="P67" s="4" t="n"/>
    </row>
    <row r="68">
      <c r="A68" s="3" t="inlineStr">
        <is>
          <t>Brazil|Federal University of Cariri (UFCA)</t>
        </is>
      </c>
      <c r="B68" s="3" t="inlineStr">
        <is>
          <t>Brazil</t>
        </is>
      </c>
      <c r="C68" s="3" t="inlineStr">
        <is>
          <t>Жуазейру-ду-Норти</t>
        </is>
      </c>
      <c r="D68" s="3" t="inlineStr">
        <is>
          <t>Federal University of Cariri (UFCA)</t>
        </is>
      </c>
      <c r="E68" s="3" t="inlineStr">
        <is>
          <t>Universidade Federal do Cariri (UFCA)</t>
        </is>
      </c>
      <c r="F68" s="3" t="inlineStr">
        <is>
          <t>https://www.ufca.edu.br</t>
        </is>
      </c>
      <c r="G68" s="3" t="inlineStr"/>
      <c r="H68" s="3" t="inlineStr"/>
      <c r="I68" s="3" t="inlineStr"/>
      <c r="J68" s="4" t="inlineStr">
        <is>
          <t>не в рейтинге</t>
        </is>
      </c>
      <c r="K68" s="4" t="inlineStr">
        <is>
          <t>не в рейтинге</t>
        </is>
      </c>
      <c r="L68" s="4" t="inlineStr">
        <is>
          <t>нет в опубл. списке (опубликован только топ-15 страны)</t>
        </is>
      </c>
      <c r="M68" s="4" t="inlineStr">
        <is>
          <t>RUF 2025 (Folha)</t>
        </is>
      </c>
      <c r="N68" s="4" t="inlineStr">
        <is>
          <t>149</t>
        </is>
      </c>
      <c r="O68" s="4" t="inlineStr">
        <is>
          <t>https://ruf.folha.uol.com.br/2025/ranking-de-universidades/principal/</t>
        </is>
      </c>
      <c r="P68" s="4" t="n"/>
    </row>
    <row r="69">
      <c r="A69" s="3" t="inlineStr">
        <is>
          <t>Brazil|Federal University of Catalão (UFCAT)</t>
        </is>
      </c>
      <c r="B69" s="3" t="inlineStr">
        <is>
          <t>Brazil</t>
        </is>
      </c>
      <c r="C69" s="3" t="inlineStr">
        <is>
          <t>Каталан</t>
        </is>
      </c>
      <c r="D69" s="3" t="inlineStr">
        <is>
          <t>Federal University of Catalão (UFCAT)</t>
        </is>
      </c>
      <c r="E69" s="3" t="inlineStr">
        <is>
          <t>Universidade Federal de Catalão (UFCAT)</t>
        </is>
      </c>
      <c r="F69" s="3" t="inlineStr">
        <is>
          <t>https://www.ufcat.edu.br</t>
        </is>
      </c>
      <c r="G69" s="3" t="inlineStr"/>
      <c r="H69" s="3" t="inlineStr"/>
      <c r="I69" s="3" t="inlineStr"/>
      <c r="J69" s="4" t="inlineStr">
        <is>
          <t>не в рейтинге</t>
        </is>
      </c>
      <c r="K69" s="4" t="inlineStr">
        <is>
          <t>не в рейтинге</t>
        </is>
      </c>
      <c r="L69" s="4" t="inlineStr">
        <is>
          <t>нет в опубл. списке (опубликован только топ-15 страны)</t>
        </is>
      </c>
      <c r="M69" s="4" t="inlineStr">
        <is>
          <t>RUF 2025 (Folha)</t>
        </is>
      </c>
      <c r="N69" s="4" t="inlineStr">
        <is>
          <t>172</t>
        </is>
      </c>
      <c r="O69" s="4" t="inlineStr">
        <is>
          <t>https://ruf.folha.uol.com.br/2025/ranking-de-universidades/principal/</t>
        </is>
      </c>
      <c r="P69" s="4" t="n"/>
    </row>
    <row r="70">
      <c r="A70" s="3" t="inlineStr">
        <is>
          <t>Brazil|Federal University of Ceará</t>
        </is>
      </c>
      <c r="B70" s="3" t="inlineStr">
        <is>
          <t>Brazil</t>
        </is>
      </c>
      <c r="C70" s="3" t="inlineStr">
        <is>
          <t>Форталеза</t>
        </is>
      </c>
      <c r="D70" s="3" t="inlineStr">
        <is>
          <t>Federal University of Ceará</t>
        </is>
      </c>
      <c r="E70" s="3" t="inlineStr">
        <is>
          <t>Universidade Federal do Ceará (UFC)</t>
        </is>
      </c>
      <c r="F70" s="3" t="inlineStr">
        <is>
          <t>https://www.ufc.br</t>
        </is>
      </c>
      <c r="G70" s="3" t="inlineStr">
        <is>
          <t>QS2027: 1401+</t>
        </is>
      </c>
      <c r="H70" s="3" t="inlineStr">
        <is>
          <t>THE2027: 1601–1800</t>
        </is>
      </c>
      <c r="I70" s="3" t="inlineStr"/>
      <c r="J70" s="4" t="inlineStr">
        <is>
          <t>1401+</t>
        </is>
      </c>
      <c r="K70" s="4" t="inlineStr">
        <is>
          <t>1601–1800</t>
        </is>
      </c>
      <c r="L70" s="4" t="inlineStr">
        <is>
          <t>нет в опубл. списке (опубликован только топ-15 страны)</t>
        </is>
      </c>
      <c r="M70" s="4" t="inlineStr">
        <is>
          <t>RUF 2025 (Folha)</t>
        </is>
      </c>
      <c r="N70" s="4" t="inlineStr">
        <is>
          <t>19</t>
        </is>
      </c>
      <c r="O70" s="4" t="inlineStr">
        <is>
          <t>https://www.topuniversities.com/world-university-rankings (QS WUR 2027)
https://www.timeshighereducation.com/world-university-rankings/2027/world-ranking
https://ruf.folha.uol.com.br/2025/ranking-de-universidades/principal/</t>
        </is>
      </c>
      <c r="P70" s="4" t="n"/>
    </row>
    <row r="71">
      <c r="A71" s="3" t="inlineStr">
        <is>
          <t>Brazil|Federal University of Espírito Santo</t>
        </is>
      </c>
      <c r="B71" s="3" t="inlineStr">
        <is>
          <t>Brazil</t>
        </is>
      </c>
      <c r="C71" s="3" t="inlineStr">
        <is>
          <t>Витория</t>
        </is>
      </c>
      <c r="D71" s="3" t="inlineStr">
        <is>
          <t>Federal University of Espírito Santo</t>
        </is>
      </c>
      <c r="E71" s="3" t="inlineStr">
        <is>
          <t>Universidade Federal do Espírito Santo (Ufes)</t>
        </is>
      </c>
      <c r="F71" s="3" t="inlineStr">
        <is>
          <t>https://www.ufes.br</t>
        </is>
      </c>
      <c r="G71" s="3" t="inlineStr"/>
      <c r="H71" s="3" t="inlineStr">
        <is>
          <t>THE2027: 1601–1800</t>
        </is>
      </c>
      <c r="I71" s="3" t="inlineStr"/>
      <c r="J71" s="4" t="inlineStr">
        <is>
          <t>не в рейтинге</t>
        </is>
      </c>
      <c r="K71" s="4" t="inlineStr">
        <is>
          <t>1601–1800</t>
        </is>
      </c>
      <c r="L71" s="4" t="inlineStr">
        <is>
          <t>нет в опубл. списке (опубликован только топ-15 страны)</t>
        </is>
      </c>
      <c r="M71" s="4" t="inlineStr">
        <is>
          <t>RUF 2025 (Folha)</t>
        </is>
      </c>
      <c r="N71" s="4" t="inlineStr">
        <is>
          <t>23</t>
        </is>
      </c>
      <c r="O71" s="4" t="inlineStr">
        <is>
          <t>https://www.timeshighereducation.com/world-university-rankings/2027/world-ranking
https://ruf.folha.uol.com.br/2025/ranking-de-universidades/principal/</t>
        </is>
      </c>
      <c r="P71" s="4" t="n"/>
    </row>
    <row r="72">
      <c r="A72" s="3" t="inlineStr">
        <is>
          <t>Brazil|Federal University of Fronteira Sul</t>
        </is>
      </c>
      <c r="B72" s="3" t="inlineStr">
        <is>
          <t>Brazil</t>
        </is>
      </c>
      <c r="C72" s="3" t="inlineStr">
        <is>
          <t>Шапеко</t>
        </is>
      </c>
      <c r="D72" s="3" t="inlineStr">
        <is>
          <t>Federal University of Fronteira Sul</t>
        </is>
      </c>
      <c r="E72" s="3" t="inlineStr">
        <is>
          <t>Universidade Federal da Fronteira Sul (UFFS)</t>
        </is>
      </c>
      <c r="F72" s="3" t="inlineStr">
        <is>
          <t>https://www.uffs.edu.br</t>
        </is>
      </c>
      <c r="G72" s="3" t="inlineStr"/>
      <c r="H72" s="3" t="inlineStr"/>
      <c r="I72" s="3" t="inlineStr"/>
      <c r="J72" s="4" t="inlineStr">
        <is>
          <t>не в рейтинге</t>
        </is>
      </c>
      <c r="K72" s="4" t="inlineStr">
        <is>
          <t>не в рейтинге</t>
        </is>
      </c>
      <c r="L72" s="4" t="inlineStr">
        <is>
          <t>нет в опубл. списке (опубликован только топ-15 страны)</t>
        </is>
      </c>
      <c r="M72" s="4" t="inlineStr">
        <is>
          <t>RUF 2025 (Folha)</t>
        </is>
      </c>
      <c r="N72" s="4" t="inlineStr">
        <is>
          <t>89</t>
        </is>
      </c>
      <c r="O72" s="4" t="inlineStr">
        <is>
          <t>https://ruf.folha.uol.com.br/2025/ranking-de-universidades/principal/</t>
        </is>
      </c>
      <c r="P72" s="4" t="n"/>
    </row>
    <row r="73">
      <c r="A73" s="3" t="inlineStr">
        <is>
          <t>Brazil|Federal University of Goiás (UFG)</t>
        </is>
      </c>
      <c r="B73" s="3" t="inlineStr">
        <is>
          <t>Brazil</t>
        </is>
      </c>
      <c r="C73" s="3" t="inlineStr">
        <is>
          <t>Гоянія</t>
        </is>
      </c>
      <c r="D73" s="3" t="inlineStr">
        <is>
          <t>Federal University of Goiás (UFG)</t>
        </is>
      </c>
      <c r="E73" s="3" t="inlineStr">
        <is>
          <t>Universidade Federal de Goiás (UFG)</t>
        </is>
      </c>
      <c r="F73" s="3" t="inlineStr">
        <is>
          <t>https://ufg.br</t>
        </is>
      </c>
      <c r="G73" s="3" t="inlineStr"/>
      <c r="H73" s="3" t="inlineStr"/>
      <c r="I73" s="3" t="inlineStr"/>
      <c r="J73" s="4" t="inlineStr">
        <is>
          <t>не в рейтинге</t>
        </is>
      </c>
      <c r="K73" s="4" t="inlineStr">
        <is>
          <t>не в рейтинге</t>
        </is>
      </c>
      <c r="L73" s="4" t="inlineStr">
        <is>
          <t>нет в опубл. списке (опубликован только топ-15 страны)</t>
        </is>
      </c>
      <c r="M73" s="4" t="inlineStr">
        <is>
          <t>RUF 2025 (Folha)</t>
        </is>
      </c>
      <c r="N73" s="4" t="inlineStr">
        <is>
          <t>13</t>
        </is>
      </c>
      <c r="O73" s="4" t="inlineStr">
        <is>
          <t>https://ruf.folha.uol.com.br/2025/ranking-de-universidades/principal/</t>
        </is>
      </c>
      <c r="P73" s="4" t="n"/>
    </row>
    <row r="74">
      <c r="A74" s="3" t="inlineStr">
        <is>
          <t>Brazil|Federal University of Grande Dourados (UFGD)</t>
        </is>
      </c>
      <c r="B74" s="3" t="inlineStr">
        <is>
          <t>Brazil</t>
        </is>
      </c>
      <c r="C74" s="3" t="inlineStr">
        <is>
          <t>Дорадус</t>
        </is>
      </c>
      <c r="D74" s="3" t="inlineStr">
        <is>
          <t>Federal University of Grande Dourados (UFGD)</t>
        </is>
      </c>
      <c r="E74" s="3" t="inlineStr">
        <is>
          <t>Universidade Federal da Grande Dourados (UFGD)</t>
        </is>
      </c>
      <c r="F74" s="3" t="inlineStr">
        <is>
          <t>https://portal.ufgd.edu.br</t>
        </is>
      </c>
      <c r="G74" s="3" t="inlineStr"/>
      <c r="H74" s="3" t="inlineStr"/>
      <c r="I74" s="3" t="inlineStr"/>
      <c r="J74" s="4" t="inlineStr">
        <is>
          <t>не в рейтинге</t>
        </is>
      </c>
      <c r="K74" s="4" t="inlineStr">
        <is>
          <t>не в рейтинге</t>
        </is>
      </c>
      <c r="L74" s="4" t="inlineStr">
        <is>
          <t>нет в опубл. списке (опубликован только топ-15 страны)</t>
        </is>
      </c>
      <c r="M74" s="4" t="inlineStr">
        <is>
          <t>RUF 2025 (Folha)</t>
        </is>
      </c>
      <c r="N74" s="4" t="inlineStr">
        <is>
          <t>74</t>
        </is>
      </c>
      <c r="O74" s="4" t="inlineStr">
        <is>
          <t>https://ruf.folha.uol.com.br/2025/ranking-de-universidades/principal/</t>
        </is>
      </c>
      <c r="P74" s="4" t="n"/>
    </row>
    <row r="75">
      <c r="A75" s="3" t="inlineStr">
        <is>
          <t>Brazil|Federal University of Health Sciences of Porto Alegre (UFCSPA)</t>
        </is>
      </c>
      <c r="B75" s="3" t="inlineStr">
        <is>
          <t>Brazil</t>
        </is>
      </c>
      <c r="C75" s="3" t="inlineStr">
        <is>
          <t>Порту-Алегри</t>
        </is>
      </c>
      <c r="D75" s="3" t="inlineStr">
        <is>
          <t>Federal University of Health Sciences of Porto Alegre (UFCSPA)</t>
        </is>
      </c>
      <c r="E75" s="3" t="inlineStr">
        <is>
          <t>Universidade Federal de Ciências da Saúde de Porto Alegre (UFCSPA)</t>
        </is>
      </c>
      <c r="F75" s="3" t="inlineStr">
        <is>
          <t>https://ufcspa.edu.br</t>
        </is>
      </c>
      <c r="G75" s="3" t="inlineStr"/>
      <c r="H75" s="3" t="inlineStr">
        <is>
          <t>THE2027: 1601–1800</t>
        </is>
      </c>
      <c r="I75" s="3" t="inlineStr"/>
      <c r="J75" s="4" t="inlineStr">
        <is>
          <t>не в рейтинге</t>
        </is>
      </c>
      <c r="K75" s="4" t="inlineStr">
        <is>
          <t>1601–1800</t>
        </is>
      </c>
      <c r="L75" s="4" t="inlineStr">
        <is>
          <t>нет в опубл. списке (опубликован только топ-15 страны)</t>
        </is>
      </c>
      <c r="M75" s="4" t="inlineStr">
        <is>
          <t>RUF 2025 (Folha)</t>
        </is>
      </c>
      <c r="N75" s="4" t="inlineStr">
        <is>
          <t>50</t>
        </is>
      </c>
      <c r="O75" s="4" t="inlineStr">
        <is>
          <t>https://www.timeshighereducation.com/world-university-rankings/2027/world-ranking
https://ruf.folha.uol.com.br/2025/ranking-de-universidades/principal/</t>
        </is>
      </c>
      <c r="P75" s="4" t="n"/>
    </row>
    <row r="76">
      <c r="A76" s="3" t="inlineStr">
        <is>
          <t>Brazil|Federal University of Itajubá</t>
        </is>
      </c>
      <c r="B76" s="3" t="inlineStr">
        <is>
          <t>Brazil</t>
        </is>
      </c>
      <c r="C76" s="3" t="inlineStr">
        <is>
          <t>Итажуба</t>
        </is>
      </c>
      <c r="D76" s="3" t="inlineStr">
        <is>
          <t>Federal University of Itajubá</t>
        </is>
      </c>
      <c r="E76" s="3" t="inlineStr">
        <is>
          <t>Universidade Federal de Itajubá (UNIFEI)</t>
        </is>
      </c>
      <c r="F76" s="3" t="inlineStr">
        <is>
          <t>https://unifei.edu.br</t>
        </is>
      </c>
      <c r="G76" s="3" t="inlineStr"/>
      <c r="H76" s="3" t="inlineStr"/>
      <c r="I76" s="3" t="inlineStr"/>
      <c r="J76" s="4" t="inlineStr">
        <is>
          <t>не в рейтинге</t>
        </is>
      </c>
      <c r="K76" s="4" t="inlineStr">
        <is>
          <t>не в рейтинге</t>
        </is>
      </c>
      <c r="L76" s="4" t="inlineStr">
        <is>
          <t>нет в опубл. списке (опубликован только топ-15 страны)</t>
        </is>
      </c>
      <c r="M76" s="4" t="inlineStr">
        <is>
          <t>RUF 2025 (Folha)</t>
        </is>
      </c>
      <c r="N76" s="4" t="inlineStr">
        <is>
          <t>57</t>
        </is>
      </c>
      <c r="O76" s="4" t="inlineStr">
        <is>
          <t>https://ruf.folha.uol.com.br/2025/ranking-de-universidades/principal/</t>
        </is>
      </c>
      <c r="P76" s="4" t="n"/>
    </row>
    <row r="77">
      <c r="A77" s="3" t="inlineStr">
        <is>
          <t>Brazil|Federal University of Jataí (UFJ)</t>
        </is>
      </c>
      <c r="B77" s="3" t="inlineStr">
        <is>
          <t>Brazil</t>
        </is>
      </c>
      <c r="C77" s="3" t="inlineStr">
        <is>
          <t>Жатаи</t>
        </is>
      </c>
      <c r="D77" s="3" t="inlineStr">
        <is>
          <t>Federal University of Jataí (UFJ)</t>
        </is>
      </c>
      <c r="E77" s="3" t="inlineStr">
        <is>
          <t>Universidade Federal de Jataí (UFJ)</t>
        </is>
      </c>
      <c r="F77" s="3" t="inlineStr">
        <is>
          <t>https://ufj.edu.br</t>
        </is>
      </c>
      <c r="G77" s="3" t="inlineStr"/>
      <c r="H77" s="3" t="inlineStr"/>
      <c r="I77" s="3" t="inlineStr"/>
      <c r="J77" s="4" t="inlineStr">
        <is>
          <t>не в рейтинге</t>
        </is>
      </c>
      <c r="K77" s="4" t="inlineStr">
        <is>
          <t>не в рейтинге</t>
        </is>
      </c>
      <c r="L77" s="4" t="inlineStr">
        <is>
          <t>нет в опубл. списке (опубликован только топ-15 страны)</t>
        </is>
      </c>
      <c r="M77" s="4" t="inlineStr">
        <is>
          <t>RUF 2025 (Folha)</t>
        </is>
      </c>
      <c r="N77" s="4" t="inlineStr">
        <is>
          <t>165</t>
        </is>
      </c>
      <c r="O77" s="4" t="inlineStr">
        <is>
          <t>https://ruf.folha.uol.com.br/2025/ranking-de-universidades/principal/</t>
        </is>
      </c>
      <c r="P77" s="4" t="n"/>
    </row>
    <row r="78">
      <c r="A78" s="3" t="inlineStr">
        <is>
          <t>Brazil|Federal University of Juiz de Fora</t>
        </is>
      </c>
      <c r="B78" s="3" t="inlineStr">
        <is>
          <t>Brazil</t>
        </is>
      </c>
      <c r="C78" s="3" t="inlineStr">
        <is>
          <t>Жуис-ди-Фора</t>
        </is>
      </c>
      <c r="D78" s="3" t="inlineStr">
        <is>
          <t>Federal University of Juiz de Fora</t>
        </is>
      </c>
      <c r="E78" s="3" t="inlineStr">
        <is>
          <t>Universidade Federal de Juiz de Fora (UFJF)</t>
        </is>
      </c>
      <c r="F78" s="3" t="inlineStr">
        <is>
          <t>https://www2.ufjf.br</t>
        </is>
      </c>
      <c r="G78" s="3" t="inlineStr"/>
      <c r="H78" s="3" t="inlineStr">
        <is>
          <t>THE2027: 1401–1600</t>
        </is>
      </c>
      <c r="I78" s="3" t="inlineStr"/>
      <c r="J78" s="4" t="inlineStr">
        <is>
          <t>не в рейтинге</t>
        </is>
      </c>
      <c r="K78" s="4" t="inlineStr">
        <is>
          <t>1401–1600</t>
        </is>
      </c>
      <c r="L78" s="4" t="inlineStr">
        <is>
          <t>нет в опубл. списке (опубликован только топ-15 страны)</t>
        </is>
      </c>
      <c r="M78" s="4" t="inlineStr">
        <is>
          <t>RUF 2025 (Folha)</t>
        </is>
      </c>
      <c r="N78" s="4" t="inlineStr">
        <is>
          <t>25</t>
        </is>
      </c>
      <c r="O78" s="4" t="inlineStr">
        <is>
          <t>https://www.timeshighereducation.com/world-university-rankings/2027/world-ranking
https://ruf.folha.uol.com.br/2025/ranking-de-universidades/principal/</t>
        </is>
      </c>
      <c r="P78" s="4" t="n"/>
    </row>
    <row r="79">
      <c r="A79" s="3" t="inlineStr">
        <is>
          <t>Brazil|Federal University of Latin American Integration (UNILA)</t>
        </is>
      </c>
      <c r="B79" s="3" t="inlineStr">
        <is>
          <t>Brazil</t>
        </is>
      </c>
      <c r="C79" s="3" t="inlineStr">
        <is>
          <t>Фос-ду-Игуасу</t>
        </is>
      </c>
      <c r="D79" s="3" t="inlineStr">
        <is>
          <t>Federal University of Latin American Integration (UNILA)</t>
        </is>
      </c>
      <c r="E79" s="3" t="inlineStr">
        <is>
          <t>Universidade Federal da Integração Latino-Americana (UNILA)</t>
        </is>
      </c>
      <c r="F79" s="3" t="inlineStr">
        <is>
          <t>https://portal.unila.edu.br</t>
        </is>
      </c>
      <c r="G79" s="3" t="inlineStr"/>
      <c r="H79" s="3" t="inlineStr"/>
      <c r="I79" s="3" t="inlineStr"/>
      <c r="J79" s="4" t="inlineStr">
        <is>
          <t>не в рейтинге</t>
        </is>
      </c>
      <c r="K79" s="4" t="inlineStr">
        <is>
          <t>не в рейтинге</t>
        </is>
      </c>
      <c r="L79" s="4" t="inlineStr">
        <is>
          <t>нет в опубл. списке (опубликован только топ-15 страны)</t>
        </is>
      </c>
      <c r="M79" s="4" t="inlineStr">
        <is>
          <t>RUF 2025 (Folha)</t>
        </is>
      </c>
      <c r="N79" s="4" t="inlineStr">
        <is>
          <t>146</t>
        </is>
      </c>
      <c r="O79" s="4" t="inlineStr">
        <is>
          <t>https://ruf.folha.uol.com.br/2025/ranking-de-universidades/principal/</t>
        </is>
      </c>
      <c r="P79" s="4" t="n"/>
    </row>
    <row r="80">
      <c r="A80" s="3" t="inlineStr">
        <is>
          <t>Brazil|Federal University of Lavras</t>
        </is>
      </c>
      <c r="B80" s="3" t="inlineStr">
        <is>
          <t>Brazil</t>
        </is>
      </c>
      <c r="C80" s="3" t="inlineStr">
        <is>
          <t>Лаврас</t>
        </is>
      </c>
      <c r="D80" s="3" t="inlineStr">
        <is>
          <t>Federal University of Lavras</t>
        </is>
      </c>
      <c r="E80" s="3" t="inlineStr">
        <is>
          <t>Universidade Federal de Lavras (UFLA)</t>
        </is>
      </c>
      <c r="F80" s="3" t="inlineStr">
        <is>
          <t>https://ufla.br</t>
        </is>
      </c>
      <c r="G80" s="3" t="inlineStr"/>
      <c r="H80" s="3" t="inlineStr">
        <is>
          <t>THE2027: 1401–1600</t>
        </is>
      </c>
      <c r="I80" s="3" t="inlineStr"/>
      <c r="J80" s="4" t="inlineStr">
        <is>
          <t>не в рейтинге</t>
        </is>
      </c>
      <c r="K80" s="4" t="inlineStr">
        <is>
          <t>1401–1600</t>
        </is>
      </c>
      <c r="L80" s="4" t="inlineStr">
        <is>
          <t>нет в опубл. списке (опубликован только топ-15 страны)</t>
        </is>
      </c>
      <c r="M80" s="4" t="inlineStr">
        <is>
          <t>RUF 2025 (Folha)</t>
        </is>
      </c>
      <c r="N80" s="4" t="inlineStr">
        <is>
          <t>26</t>
        </is>
      </c>
      <c r="O80" s="4" t="inlineStr">
        <is>
          <t>https://www.timeshighereducation.com/world-university-rankings/2027/world-ranking
https://ruf.folha.uol.com.br/2025/ranking-de-universidades/principal/</t>
        </is>
      </c>
      <c r="P80" s="4" t="n"/>
    </row>
    <row r="81">
      <c r="A81" s="3" t="inlineStr">
        <is>
          <t>Brazil|Federal University of Maranhão</t>
        </is>
      </c>
      <c r="B81" s="3" t="inlineStr">
        <is>
          <t>Brazil</t>
        </is>
      </c>
      <c r="C81" s="3" t="inlineStr">
        <is>
          <t>Сан-Луис</t>
        </is>
      </c>
      <c r="D81" s="3" t="inlineStr">
        <is>
          <t>Federal University of Maranhão</t>
        </is>
      </c>
      <c r="E81" s="3" t="inlineStr">
        <is>
          <t>Universidade Federal do Maranhão (UFMA)</t>
        </is>
      </c>
      <c r="F81" s="3" t="inlineStr">
        <is>
          <t>https://portalpadrao.ufma.br</t>
        </is>
      </c>
      <c r="G81" s="3" t="inlineStr"/>
      <c r="H81" s="3" t="inlineStr">
        <is>
          <t>THE2027: 2001+</t>
        </is>
      </c>
      <c r="I81" s="3" t="inlineStr"/>
      <c r="J81" s="4" t="inlineStr">
        <is>
          <t>не в рейтинге</t>
        </is>
      </c>
      <c r="K81" s="4" t="inlineStr">
        <is>
          <t>2001+</t>
        </is>
      </c>
      <c r="L81" s="4" t="inlineStr">
        <is>
          <t>нет в опубл. списке (опубликован только топ-15 страны)</t>
        </is>
      </c>
      <c r="M81" s="4" t="inlineStr">
        <is>
          <t>RUF 2025 (Folha)</t>
        </is>
      </c>
      <c r="N81" s="4" t="inlineStr">
        <is>
          <t>53</t>
        </is>
      </c>
      <c r="O81" s="4" t="inlineStr">
        <is>
          <t>https://www.timeshighereducation.com/world-university-rankings/2027/world-ranking
https://ruf.folha.uol.com.br/2025/ranking-de-universidades/principal/</t>
        </is>
      </c>
      <c r="P81" s="4" t="n"/>
    </row>
    <row r="82">
      <c r="A82" s="3" t="inlineStr">
        <is>
          <t>Brazil|Federal University of Mato Grosso do Sul</t>
        </is>
      </c>
      <c r="B82" s="3" t="inlineStr">
        <is>
          <t>Brazil</t>
        </is>
      </c>
      <c r="C82" s="3" t="inlineStr">
        <is>
          <t>Кампу-Гранди</t>
        </is>
      </c>
      <c r="D82" s="3" t="inlineStr">
        <is>
          <t>Federal University of Mato Grosso do Sul</t>
        </is>
      </c>
      <c r="E82" s="3" t="inlineStr">
        <is>
          <t>Universidade Federal de Mato Grosso do Sul (UFMS)</t>
        </is>
      </c>
      <c r="F82" s="3" t="inlineStr">
        <is>
          <t>https://www.ufms.br</t>
        </is>
      </c>
      <c r="G82" s="3" t="inlineStr"/>
      <c r="H82" s="3" t="inlineStr">
        <is>
          <t>THE2027: 1801–2000</t>
        </is>
      </c>
      <c r="I82" s="3" t="inlineStr"/>
      <c r="J82" s="4" t="inlineStr">
        <is>
          <t>не в рейтинге</t>
        </is>
      </c>
      <c r="K82" s="4" t="inlineStr">
        <is>
          <t>1801–2000</t>
        </is>
      </c>
      <c r="L82" s="4" t="inlineStr">
        <is>
          <t>нет в опубл. списке (опубликован только топ-15 страны)</t>
        </is>
      </c>
      <c r="M82" s="4" t="inlineStr">
        <is>
          <t>RUF 2025 (Folha)</t>
        </is>
      </c>
      <c r="N82" s="4" t="inlineStr">
        <is>
          <t>36</t>
        </is>
      </c>
      <c r="O82" s="4" t="inlineStr">
        <is>
          <t>https://www.timeshighereducation.com/world-university-rankings/2027/world-ranking
https://ruf.folha.uol.com.br/2025/ranking-de-universidades/principal/</t>
        </is>
      </c>
      <c r="P82" s="4" t="n"/>
    </row>
    <row r="83">
      <c r="A83" s="3" t="inlineStr">
        <is>
          <t>Brazil|Federal University of Minas Gerais</t>
        </is>
      </c>
      <c r="B83" s="3" t="inlineStr">
        <is>
          <t>Brazil</t>
        </is>
      </c>
      <c r="C83" s="3" t="inlineStr">
        <is>
          <t>Белу-Оризонти</t>
        </is>
      </c>
      <c r="D83" s="3" t="inlineStr">
        <is>
          <t>Federal University of Minas Gerais</t>
        </is>
      </c>
      <c r="E83" s="3" t="inlineStr">
        <is>
          <t>Universidade Federal de Minas Gerais</t>
        </is>
      </c>
      <c r="F83" s="3" t="inlineStr">
        <is>
          <t>https://www.ufmg.br</t>
        </is>
      </c>
      <c r="G83" s="3" t="inlineStr">
        <is>
          <t>QS2027: 600</t>
        </is>
      </c>
      <c r="H83" s="3" t="inlineStr">
        <is>
          <t>THE2027: 801–1000</t>
        </is>
      </c>
      <c r="I83" s="3" t="inlineStr"/>
      <c r="J83" s="4">
        <f>600</f>
        <v/>
      </c>
      <c r="K83" s="4" t="inlineStr">
        <is>
          <t>801–1000</t>
        </is>
      </c>
      <c r="L83" s="4" t="inlineStr">
        <is>
          <t>345</t>
        </is>
      </c>
      <c r="M83" s="4" t="inlineStr">
        <is>
          <t>RUF 2025 (Folha)</t>
        </is>
      </c>
      <c r="N83" s="4" t="inlineStr">
        <is>
          <t>4</t>
        </is>
      </c>
      <c r="O8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83" s="4" t="n"/>
    </row>
    <row r="84">
      <c r="A84" s="3" t="inlineStr">
        <is>
          <t>Brazil|Federal University of Northern Tocantins (UFNT)</t>
        </is>
      </c>
      <c r="B84" s="3" t="inlineStr">
        <is>
          <t>Brazil</t>
        </is>
      </c>
      <c r="C84" s="3" t="inlineStr">
        <is>
          <t>Арагуаина</t>
        </is>
      </c>
      <c r="D84" s="3" t="inlineStr">
        <is>
          <t>Federal University of Northern Tocantins (UFNT)</t>
        </is>
      </c>
      <c r="E84" s="3" t="inlineStr">
        <is>
          <t>Universidade Federal do Norte do Tocantins (UFNT)</t>
        </is>
      </c>
      <c r="F84" s="3" t="inlineStr">
        <is>
          <t>https://ufnt.edu.br</t>
        </is>
      </c>
      <c r="G84" s="3" t="inlineStr"/>
      <c r="H84" s="3" t="inlineStr"/>
      <c r="I84" s="3" t="inlineStr"/>
      <c r="J84" s="4" t="inlineStr">
        <is>
          <t>не в рейтинге</t>
        </is>
      </c>
      <c r="K84" s="4" t="inlineStr">
        <is>
          <t>не в рейтинге</t>
        </is>
      </c>
      <c r="L84" s="4" t="inlineStr">
        <is>
          <t>нет в опубл. списке (опубликован только топ-15 страны)</t>
        </is>
      </c>
      <c r="M84" s="4" t="inlineStr">
        <is>
          <t>RUF 2025 (Folha)</t>
        </is>
      </c>
      <c r="N84" s="4" t="inlineStr">
        <is>
          <t>201</t>
        </is>
      </c>
      <c r="O84" s="4" t="inlineStr">
        <is>
          <t>https://ruf.folha.uol.com.br/2025/ranking-de-universidades/principal/</t>
        </is>
      </c>
      <c r="P84" s="4" t="n"/>
    </row>
    <row r="85">
      <c r="A85" s="3" t="inlineStr">
        <is>
          <t>Brazil|Federal University of Ouro Preto</t>
        </is>
      </c>
      <c r="B85" s="3" t="inlineStr">
        <is>
          <t>Brazil</t>
        </is>
      </c>
      <c r="C85" s="3" t="inlineStr">
        <is>
          <t>Ору-Прету</t>
        </is>
      </c>
      <c r="D85" s="3" t="inlineStr">
        <is>
          <t>Federal University of Ouro Preto</t>
        </is>
      </c>
      <c r="E85" s="3" t="inlineStr">
        <is>
          <t>Universidade Federal de Ouro Preto (UFOP)</t>
        </is>
      </c>
      <c r="F85" s="3" t="inlineStr">
        <is>
          <t>https://ufop.br</t>
        </is>
      </c>
      <c r="G85" s="3" t="inlineStr"/>
      <c r="H85" s="3" t="inlineStr"/>
      <c r="I85" s="3" t="inlineStr"/>
      <c r="J85" s="4" t="inlineStr">
        <is>
          <t>не в рейтинге</t>
        </is>
      </c>
      <c r="K85" s="4" t="inlineStr">
        <is>
          <t>не в рейтинге</t>
        </is>
      </c>
      <c r="L85" s="4" t="inlineStr">
        <is>
          <t>нет в опубл. списке (опубликован только топ-15 страны)</t>
        </is>
      </c>
      <c r="M85" s="4" t="inlineStr">
        <is>
          <t>RUF 2025 (Folha)</t>
        </is>
      </c>
      <c r="N85" s="4" t="inlineStr">
        <is>
          <t>40</t>
        </is>
      </c>
      <c r="O85" s="4" t="inlineStr">
        <is>
          <t>https://ruf.folha.uol.com.br/2025/ranking-de-universidades/principal/</t>
        </is>
      </c>
      <c r="P85" s="4" t="n"/>
    </row>
    <row r="86">
      <c r="A86" s="3" t="inlineStr">
        <is>
          <t>Brazil|Federal University of Pampa (UNIPAMPA)</t>
        </is>
      </c>
      <c r="B86" s="3" t="inlineStr">
        <is>
          <t>Brazil</t>
        </is>
      </c>
      <c r="C86" s="3" t="inlineStr">
        <is>
          <t>Баже</t>
        </is>
      </c>
      <c r="D86" s="3" t="inlineStr">
        <is>
          <t>Federal University of Pampa (UNIPAMPA)</t>
        </is>
      </c>
      <c r="E86" s="3" t="inlineStr">
        <is>
          <t>Fundação Universidade Federal do Pampa (UNIPAMPA)</t>
        </is>
      </c>
      <c r="F86" s="3" t="inlineStr">
        <is>
          <t>https://unipampa.edu.br</t>
        </is>
      </c>
      <c r="G86" s="3" t="inlineStr"/>
      <c r="H86" s="3" t="inlineStr"/>
      <c r="I86" s="3" t="inlineStr"/>
      <c r="J86" s="4" t="inlineStr">
        <is>
          <t>не в рейтинге</t>
        </is>
      </c>
      <c r="K86" s="4" t="inlineStr">
        <is>
          <t>не в рейтинге</t>
        </is>
      </c>
      <c r="L86" s="4" t="inlineStr">
        <is>
          <t>нет в опубл. списке (опубликован только топ-15 страны)</t>
        </is>
      </c>
      <c r="M86" s="4" t="inlineStr">
        <is>
          <t>RUF 2025 (Folha)</t>
        </is>
      </c>
      <c r="N86" s="4" t="inlineStr">
        <is>
          <t>88</t>
        </is>
      </c>
      <c r="O86" s="4" t="inlineStr">
        <is>
          <t>https://ruf.folha.uol.com.br/2025/ranking-de-universidades/principal/</t>
        </is>
      </c>
      <c r="P86" s="4" t="n"/>
    </row>
    <row r="87">
      <c r="A87" s="3" t="inlineStr">
        <is>
          <t>Brazil|Federal University of Paraná (UFPR)</t>
        </is>
      </c>
      <c r="B87" s="3" t="inlineStr">
        <is>
          <t>Brazil</t>
        </is>
      </c>
      <c r="C87" s="3" t="inlineStr">
        <is>
          <t>Куритиба</t>
        </is>
      </c>
      <c r="D87" s="3" t="inlineStr">
        <is>
          <t>Federal University of Paraná (UFPR)</t>
        </is>
      </c>
      <c r="E87" s="3" t="inlineStr">
        <is>
          <t>Universidade Federal do Paraná (UFPR)</t>
        </is>
      </c>
      <c r="F87" s="3" t="inlineStr">
        <is>
          <t>https://ufpr.br</t>
        </is>
      </c>
      <c r="G87" s="3" t="inlineStr">
        <is>
          <t>QS2027: 1001–1200</t>
        </is>
      </c>
      <c r="H87" s="3" t="inlineStr">
        <is>
          <t>THE2027: 1401–1600</t>
        </is>
      </c>
      <c r="I87" s="3" t="inlineStr"/>
      <c r="J87" s="4" t="inlineStr">
        <is>
          <t>1001–1200</t>
        </is>
      </c>
      <c r="K87" s="4" t="inlineStr">
        <is>
          <t>1401–1600</t>
        </is>
      </c>
      <c r="L87" s="4" t="inlineStr">
        <is>
          <t>631</t>
        </is>
      </c>
      <c r="M87" s="4" t="inlineStr">
        <is>
          <t>RUF 2025 (Folha)</t>
        </is>
      </c>
      <c r="N87" s="4" t="inlineStr">
        <is>
          <t>9</t>
        </is>
      </c>
      <c r="O8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87" s="4" t="n"/>
    </row>
    <row r="88">
      <c r="A88" s="3" t="inlineStr">
        <is>
          <t>Brazil|Federal University of Paraíba (UFPB)</t>
        </is>
      </c>
      <c r="B88" s="3" t="inlineStr">
        <is>
          <t>Brazil</t>
        </is>
      </c>
      <c r="C88" s="3" t="inlineStr">
        <is>
          <t>Жуан-Песоа</t>
        </is>
      </c>
      <c r="D88" s="3" t="inlineStr">
        <is>
          <t>Federal University of Paraíba (UFPB)</t>
        </is>
      </c>
      <c r="E88" s="3" t="inlineStr">
        <is>
          <t>Universidade Federal da Paraíba (UFPB)</t>
        </is>
      </c>
      <c r="F88" s="3" t="inlineStr">
        <is>
          <t>https://www.ufpb.br</t>
        </is>
      </c>
      <c r="G88" s="3" t="inlineStr"/>
      <c r="H88" s="3" t="inlineStr">
        <is>
          <t>THE2027: 1801–2000</t>
        </is>
      </c>
      <c r="I88" s="3" t="inlineStr"/>
      <c r="J88" s="4" t="inlineStr">
        <is>
          <t>не в рейтинге</t>
        </is>
      </c>
      <c r="K88" s="4" t="inlineStr">
        <is>
          <t>1801–2000</t>
        </is>
      </c>
      <c r="L88" s="4" t="inlineStr">
        <is>
          <t>нет в опубл. списке (опубликован только топ-15 страны)</t>
        </is>
      </c>
      <c r="M88" s="4" t="inlineStr">
        <is>
          <t>RUF 2025 (Folha)</t>
        </is>
      </c>
      <c r="N88" s="4" t="inlineStr">
        <is>
          <t>28</t>
        </is>
      </c>
      <c r="O88" s="4" t="inlineStr">
        <is>
          <t>https://www.timeshighereducation.com/world-university-rankings/2027/world-ranking
https://ruf.folha.uol.com.br/2025/ranking-de-universidades/principal/</t>
        </is>
      </c>
      <c r="P88" s="4" t="inlineStr">
        <is>
          <t>THE: в таблице как «Federal University of Paraí­ba (UFPB)»</t>
        </is>
      </c>
    </row>
    <row r="89">
      <c r="A89" s="3" t="inlineStr">
        <is>
          <t>Brazil|Federal University of Pará (UFPA)</t>
        </is>
      </c>
      <c r="B89" s="3" t="inlineStr">
        <is>
          <t>Brazil</t>
        </is>
      </c>
      <c r="C89" s="3" t="inlineStr">
        <is>
          <t>Белен</t>
        </is>
      </c>
      <c r="D89" s="3" t="inlineStr">
        <is>
          <t>Federal University of Pará (UFPA)</t>
        </is>
      </c>
      <c r="E89" s="3" t="inlineStr">
        <is>
          <t>Universidade Federal do Pará (UFPA)</t>
        </is>
      </c>
      <c r="F89" s="3" t="inlineStr">
        <is>
          <t>https://ufpa.br</t>
        </is>
      </c>
      <c r="G89" s="3" t="inlineStr"/>
      <c r="H89" s="3" t="inlineStr">
        <is>
          <t>THE2027: 1801–2000</t>
        </is>
      </c>
      <c r="I89" s="3" t="inlineStr"/>
      <c r="J89" s="4" t="inlineStr">
        <is>
          <t>не в рейтинге</t>
        </is>
      </c>
      <c r="K89" s="4" t="inlineStr">
        <is>
          <t>1801–2000</t>
        </is>
      </c>
      <c r="L89" s="4" t="inlineStr">
        <is>
          <t>нет в опубл. списке (опубликован только топ-15 страны)</t>
        </is>
      </c>
      <c r="M89" s="4" t="inlineStr">
        <is>
          <t>RUF 2025 (Folha)</t>
        </is>
      </c>
      <c r="N89" s="4" t="inlineStr">
        <is>
          <t>30</t>
        </is>
      </c>
      <c r="O89" s="4" t="inlineStr">
        <is>
          <t>https://www.timeshighereducation.com/world-university-rankings/2027/world-ranking
https://ruf.folha.uol.com.br/2025/ranking-de-universidades/principal/</t>
        </is>
      </c>
      <c r="P89" s="4" t="n"/>
    </row>
    <row r="90">
      <c r="A90" s="3" t="inlineStr">
        <is>
          <t>Brazil|Federal University of Pernambuco</t>
        </is>
      </c>
      <c r="B90" s="3" t="inlineStr">
        <is>
          <t>Brazil</t>
        </is>
      </c>
      <c r="C90" s="3" t="inlineStr">
        <is>
          <t>Ресифи</t>
        </is>
      </c>
      <c r="D90" s="3" t="inlineStr">
        <is>
          <t>Federal University of Pernambuco</t>
        </is>
      </c>
      <c r="E90" s="3" t="inlineStr">
        <is>
          <t>Universidade Federal de Pernambuco (UFPE)</t>
        </is>
      </c>
      <c r="F90" s="3" t="inlineStr">
        <is>
          <t>https://www.ufpe.br</t>
        </is>
      </c>
      <c r="G90" s="3" t="inlineStr">
        <is>
          <t>QS2027: 1201–1400</t>
        </is>
      </c>
      <c r="H90" s="3" t="inlineStr">
        <is>
          <t>THE2027: 1601–1800</t>
        </is>
      </c>
      <c r="I90" s="3" t="inlineStr"/>
      <c r="J90" s="4" t="inlineStr">
        <is>
          <t>1201–1400</t>
        </is>
      </c>
      <c r="K90" s="4" t="inlineStr">
        <is>
          <t>1601–1800</t>
        </is>
      </c>
      <c r="L90" s="4" t="inlineStr">
        <is>
          <t>746</t>
        </is>
      </c>
      <c r="M90" s="4" t="inlineStr">
        <is>
          <t>RUF 2025 (Folha)</t>
        </is>
      </c>
      <c r="N90" s="4" t="inlineStr">
        <is>
          <t>12</t>
        </is>
      </c>
      <c r="O9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90" s="4" t="n"/>
    </row>
    <row r="91">
      <c r="A91" s="3" t="inlineStr">
        <is>
          <t>Brazil|Federal University of Piauí (UFPI)</t>
        </is>
      </c>
      <c r="B91" s="3" t="inlineStr">
        <is>
          <t>Brazil</t>
        </is>
      </c>
      <c r="C91" s="3" t="inlineStr">
        <is>
          <t>Терезина</t>
        </is>
      </c>
      <c r="D91" s="3" t="inlineStr">
        <is>
          <t>Federal University of Piauí (UFPI)</t>
        </is>
      </c>
      <c r="E91" s="3" t="inlineStr">
        <is>
          <t>Universidade Federal do Piauí (UFPI)</t>
        </is>
      </c>
      <c r="F91" s="3" t="inlineStr">
        <is>
          <t>https://ufpi.br</t>
        </is>
      </c>
      <c r="G91" s="3" t="inlineStr"/>
      <c r="H91" s="3" t="inlineStr"/>
      <c r="I91" s="3" t="inlineStr"/>
      <c r="J91" s="4" t="inlineStr">
        <is>
          <t>не в рейтинге</t>
        </is>
      </c>
      <c r="K91" s="4" t="inlineStr">
        <is>
          <t>не в рейтинге</t>
        </is>
      </c>
      <c r="L91" s="4" t="inlineStr">
        <is>
          <t>нет в опубл. списке (опубликован только топ-15 страны)</t>
        </is>
      </c>
      <c r="M91" s="4" t="inlineStr">
        <is>
          <t>RUF 2025 (Folha)</t>
        </is>
      </c>
      <c r="N91" s="4" t="inlineStr">
        <is>
          <t>45</t>
        </is>
      </c>
      <c r="O91" s="4" t="inlineStr">
        <is>
          <t>https://ruf.folha.uol.com.br/2025/ranking-de-universidades/principal/</t>
        </is>
      </c>
      <c r="P91" s="4" t="n"/>
    </row>
    <row r="92">
      <c r="A92" s="3" t="inlineStr">
        <is>
          <t>Brazil|Federal University of Recôncavo da Bahia</t>
        </is>
      </c>
      <c r="B92" s="3" t="inlineStr">
        <is>
          <t>Brazil</t>
        </is>
      </c>
      <c r="C92" s="3" t="inlineStr">
        <is>
          <t>Крус-дас-Алмас</t>
        </is>
      </c>
      <c r="D92" s="3" t="inlineStr">
        <is>
          <t>Federal University of Recôncavo da Bahia</t>
        </is>
      </c>
      <c r="E92" s="3" t="inlineStr">
        <is>
          <t>Universidade Federal do Recôncavo da Bahia (UFRB)</t>
        </is>
      </c>
      <c r="F92" s="3" t="inlineStr">
        <is>
          <t>https://www.ufrb.edu.br</t>
        </is>
      </c>
      <c r="G92" s="3" t="inlineStr"/>
      <c r="H92" s="3" t="inlineStr"/>
      <c r="I92" s="3" t="inlineStr"/>
      <c r="J92" s="4" t="inlineStr">
        <is>
          <t>не в рейтинге</t>
        </is>
      </c>
      <c r="K92" s="4" t="inlineStr">
        <is>
          <t>не в рейтинге</t>
        </is>
      </c>
      <c r="L92" s="4" t="inlineStr">
        <is>
          <t>нет в опубл. списке (опубликован только топ-15 страны)</t>
        </is>
      </c>
      <c r="M92" s="4" t="inlineStr">
        <is>
          <t>RUF 2025 (Folha)</t>
        </is>
      </c>
      <c r="N92" s="4" t="inlineStr">
        <is>
          <t>110</t>
        </is>
      </c>
      <c r="O92" s="4" t="inlineStr">
        <is>
          <t>https://ruf.folha.uol.com.br/2025/ranking-de-universidades/principal/</t>
        </is>
      </c>
      <c r="P92" s="4" t="n"/>
    </row>
    <row r="93">
      <c r="A93" s="3" t="inlineStr">
        <is>
          <t>Brazil|Federal University of Rio Grande</t>
        </is>
      </c>
      <c r="B93" s="3" t="inlineStr">
        <is>
          <t>Brazil</t>
        </is>
      </c>
      <c r="C93" s="3" t="inlineStr">
        <is>
          <t>Риу-Гранди</t>
        </is>
      </c>
      <c r="D93" s="3" t="inlineStr">
        <is>
          <t>Federal University of Rio Grande</t>
        </is>
      </c>
      <c r="E93" s="3" t="inlineStr">
        <is>
          <t>Universidade Federal do Rio Grande (FURG)</t>
        </is>
      </c>
      <c r="F93" s="3" t="inlineStr">
        <is>
          <t>https://www.furg.br</t>
        </is>
      </c>
      <c r="G93" s="3" t="inlineStr"/>
      <c r="H93" s="3" t="inlineStr"/>
      <c r="I93" s="3" t="inlineStr"/>
      <c r="J93" s="4" t="inlineStr">
        <is>
          <t>не в рейтинге</t>
        </is>
      </c>
      <c r="K93" s="4" t="inlineStr">
        <is>
          <t>не в рейтинге</t>
        </is>
      </c>
      <c r="L93" s="4" t="inlineStr">
        <is>
          <t>нет в опубл. списке (опубликован только топ-15 страны)</t>
        </is>
      </c>
      <c r="M93" s="4" t="inlineStr">
        <is>
          <t>RUF 2025 (Folha)</t>
        </is>
      </c>
      <c r="N93" s="4" t="inlineStr">
        <is>
          <t>49</t>
        </is>
      </c>
      <c r="O93" s="4" t="inlineStr">
        <is>
          <t>https://ruf.folha.uol.com.br/2025/ranking-de-universidades/principal/</t>
        </is>
      </c>
      <c r="P93" s="4" t="n"/>
    </row>
    <row r="94">
      <c r="A94" s="3" t="inlineStr">
        <is>
          <t>Brazil|Federal University of Rio Grande do Norte</t>
        </is>
      </c>
      <c r="B94" s="3" t="inlineStr">
        <is>
          <t>Brazil</t>
        </is>
      </c>
      <c r="C94" s="3" t="inlineStr">
        <is>
          <t>Натал</t>
        </is>
      </c>
      <c r="D94" s="3" t="inlineStr">
        <is>
          <t>Federal University of Rio Grande do Norte</t>
        </is>
      </c>
      <c r="E94" s="3" t="inlineStr">
        <is>
          <t>Universidade Federal do Rio Grande do Norte (UFRN)</t>
        </is>
      </c>
      <c r="F94" s="3" t="inlineStr">
        <is>
          <t>https://www.ufrn.br</t>
        </is>
      </c>
      <c r="G94" s="3" t="inlineStr"/>
      <c r="H94" s="3" t="inlineStr">
        <is>
          <t>THE2027: 1601–1800</t>
        </is>
      </c>
      <c r="I94" s="3" t="inlineStr"/>
      <c r="J94" s="4" t="inlineStr">
        <is>
          <t>не в рейтинге</t>
        </is>
      </c>
      <c r="K94" s="4" t="inlineStr">
        <is>
          <t>1601–1800</t>
        </is>
      </c>
      <c r="L94" s="4" t="inlineStr">
        <is>
          <t>724</t>
        </is>
      </c>
      <c r="M94" s="4" t="inlineStr">
        <is>
          <t>RUF 2025 (Folha)</t>
        </is>
      </c>
      <c r="N94" s="4" t="inlineStr">
        <is>
          <t>17</t>
        </is>
      </c>
      <c r="O94" s="4" t="inlineStr">
        <is>
          <t>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94" s="4" t="n"/>
    </row>
    <row r="95">
      <c r="A95" s="3" t="inlineStr">
        <is>
          <t>Brazil|Federal University of Rio Grande do Sul</t>
        </is>
      </c>
      <c r="B95" s="3" t="inlineStr">
        <is>
          <t>Brazil</t>
        </is>
      </c>
      <c r="C95" s="3" t="inlineStr">
        <is>
          <t>Порту-Алегри</t>
        </is>
      </c>
      <c r="D95" s="3" t="inlineStr">
        <is>
          <t>Federal University of Rio Grande do Sul</t>
        </is>
      </c>
      <c r="E95" s="3" t="inlineStr">
        <is>
          <t>Universidade Federal do Rio Grande do Sul (UFRGS)</t>
        </is>
      </c>
      <c r="F95" s="3" t="inlineStr">
        <is>
          <t>https://www.ufrgs.br</t>
        </is>
      </c>
      <c r="G95" s="3" t="inlineStr"/>
      <c r="H95" s="3" t="inlineStr">
        <is>
          <t>THE2027: 701–800</t>
        </is>
      </c>
      <c r="I95" s="3" t="inlineStr"/>
      <c r="J95" s="4" t="inlineStr">
        <is>
          <t>741–750</t>
        </is>
      </c>
      <c r="K95" s="4" t="inlineStr">
        <is>
          <t>701–800</t>
        </is>
      </c>
      <c r="L95" s="4" t="inlineStr">
        <is>
          <t>363</t>
        </is>
      </c>
      <c r="M95" s="4" t="inlineStr">
        <is>
          <t>RUF 2025 (Folha)</t>
        </is>
      </c>
      <c r="N95" s="4" t="inlineStr">
        <is>
          <t>3</t>
        </is>
      </c>
      <c r="O9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95" s="4" t="n"/>
    </row>
    <row r="96">
      <c r="A96" s="3" t="inlineStr">
        <is>
          <t>Brazil|Federal University of Rio de Janeiro (UFRJ)</t>
        </is>
      </c>
      <c r="B96" s="3" t="inlineStr">
        <is>
          <t>Brazil</t>
        </is>
      </c>
      <c r="C96" s="3" t="inlineStr">
        <is>
          <t>Рио-де-Жанейро</t>
        </is>
      </c>
      <c r="D96" s="3" t="inlineStr">
        <is>
          <t>Federal University of Rio de Janeiro (UFRJ)</t>
        </is>
      </c>
      <c r="E96" s="3" t="inlineStr">
        <is>
          <t>Universidade Federal do Rio de Janeiro (UFRJ)</t>
        </is>
      </c>
      <c r="F96" s="3" t="inlineStr">
        <is>
          <t>https://ufrj.br</t>
        </is>
      </c>
      <c r="G96" s="3" t="inlineStr">
        <is>
          <t>QS2027: 367</t>
        </is>
      </c>
      <c r="H96" s="3" t="inlineStr">
        <is>
          <t>THE2027: 601–650</t>
        </is>
      </c>
      <c r="I96" s="3" t="inlineStr"/>
      <c r="J96" s="4">
        <f>367</f>
        <v/>
      </c>
      <c r="K96" s="4" t="inlineStr">
        <is>
          <t>601–650</t>
        </is>
      </c>
      <c r="L96" s="4" t="inlineStr">
        <is>
          <t>312</t>
        </is>
      </c>
      <c r="M96" s="4" t="inlineStr">
        <is>
          <t>RUF 2025 (Folha)</t>
        </is>
      </c>
      <c r="N96" s="4" t="inlineStr">
        <is>
          <t>5</t>
        </is>
      </c>
      <c r="O9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96" s="4" t="n"/>
    </row>
    <row r="97">
      <c r="A97" s="3" t="inlineStr">
        <is>
          <t>Brazil|Federal University of Roraima</t>
        </is>
      </c>
      <c r="B97" s="3" t="inlineStr">
        <is>
          <t>Brazil</t>
        </is>
      </c>
      <c r="C97" s="3" t="inlineStr">
        <is>
          <t>Боа-Виста</t>
        </is>
      </c>
      <c r="D97" s="3" t="inlineStr">
        <is>
          <t>Federal University of Roraima</t>
        </is>
      </c>
      <c r="E97" s="3" t="inlineStr">
        <is>
          <t>Universidade Federal de Roraima (UFRR)</t>
        </is>
      </c>
      <c r="F97" s="3" t="inlineStr">
        <is>
          <t>https://ufrr.br</t>
        </is>
      </c>
      <c r="G97" s="3" t="inlineStr"/>
      <c r="H97" s="3" t="inlineStr"/>
      <c r="I97" s="3" t="inlineStr"/>
      <c r="J97" s="4" t="inlineStr">
        <is>
          <t>не в рейтинге</t>
        </is>
      </c>
      <c r="K97" s="4" t="inlineStr">
        <is>
          <t>не в рейтинге</t>
        </is>
      </c>
      <c r="L97" s="4" t="inlineStr">
        <is>
          <t>нет в опубл. списке (опубликован только топ-15 страны)</t>
        </is>
      </c>
      <c r="M97" s="4" t="inlineStr">
        <is>
          <t>RUF 2025 (Folha)</t>
        </is>
      </c>
      <c r="N97" s="4" t="inlineStr">
        <is>
          <t>144</t>
        </is>
      </c>
      <c r="O97" s="4" t="inlineStr">
        <is>
          <t>https://ruf.folha.uol.com.br/2025/ranking-de-universidades/principal/</t>
        </is>
      </c>
      <c r="P97" s="4" t="n"/>
    </row>
    <row r="98">
      <c r="A98" s="3" t="inlineStr">
        <is>
          <t>Brazil|Federal University of Santa Catarina</t>
        </is>
      </c>
      <c r="B98" s="3" t="inlineStr">
        <is>
          <t>Brazil</t>
        </is>
      </c>
      <c r="C98" s="3" t="inlineStr">
        <is>
          <t>Флорианополис</t>
        </is>
      </c>
      <c r="D98" s="3" t="inlineStr">
        <is>
          <t>Federal University of Santa Catarina</t>
        </is>
      </c>
      <c r="E98" s="3" t="inlineStr">
        <is>
          <t>Universidade Federal de Santa Catarina (UFSC)</t>
        </is>
      </c>
      <c r="F98" s="3" t="inlineStr">
        <is>
          <t>https://ufsc.br</t>
        </is>
      </c>
      <c r="G98" s="3" t="inlineStr"/>
      <c r="H98" s="3" t="inlineStr">
        <is>
          <t>THE2027: 801–1000</t>
        </is>
      </c>
      <c r="I98" s="3" t="inlineStr"/>
      <c r="J98" s="4" t="inlineStr">
        <is>
          <t>901–950</t>
        </is>
      </c>
      <c r="K98" s="4" t="inlineStr">
        <is>
          <t>801–1000</t>
        </is>
      </c>
      <c r="L98" s="4" t="inlineStr">
        <is>
          <t>458</t>
        </is>
      </c>
      <c r="M98" s="4" t="inlineStr">
        <is>
          <t>RUF 2025 (Folha)</t>
        </is>
      </c>
      <c r="N98" s="4" t="inlineStr">
        <is>
          <t>7</t>
        </is>
      </c>
      <c r="O9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98" s="4" t="n"/>
    </row>
    <row r="99">
      <c r="A99" s="3" t="inlineStr">
        <is>
          <t>Brazil|Federal University of Santa Maria (UFSM)</t>
        </is>
      </c>
      <c r="B99" s="3" t="inlineStr">
        <is>
          <t>Brazil</t>
        </is>
      </c>
      <c r="C99" s="3" t="inlineStr">
        <is>
          <t>Санта-Мария</t>
        </is>
      </c>
      <c r="D99" s="3" t="inlineStr">
        <is>
          <t>Federal University of Santa Maria (UFSM)</t>
        </is>
      </c>
      <c r="E99" s="3" t="inlineStr">
        <is>
          <t>Universidade Federal de Santa Maria (UFSM)</t>
        </is>
      </c>
      <c r="F99" s="3" t="inlineStr">
        <is>
          <t>https://www.ufsm.br</t>
        </is>
      </c>
      <c r="G99" s="3" t="inlineStr">
        <is>
          <t>QS2027: 1401+</t>
        </is>
      </c>
      <c r="H99" s="3" t="inlineStr">
        <is>
          <t>THE2027: 1601–1800</t>
        </is>
      </c>
      <c r="I99" s="3" t="inlineStr"/>
      <c r="J99" s="4" t="inlineStr">
        <is>
          <t>1401+</t>
        </is>
      </c>
      <c r="K99" s="4" t="inlineStr">
        <is>
          <t>1601–1800</t>
        </is>
      </c>
      <c r="L99" s="4" t="inlineStr">
        <is>
          <t>нет в опубл. списке (опубликован только топ-15 страны)</t>
        </is>
      </c>
      <c r="M99" s="4" t="inlineStr">
        <is>
          <t>RUF 2025 (Folha)</t>
        </is>
      </c>
      <c r="N99" s="4" t="inlineStr">
        <is>
          <t>20</t>
        </is>
      </c>
      <c r="O99" s="4" t="inlineStr">
        <is>
          <t>https://www.topuniversities.com/world-university-rankings (QS WUR 2027)
https://www.timeshighereducation.com/world-university-rankings/2027/world-ranking
https://ruf.folha.uol.com.br/2025/ranking-de-universidades/principal/</t>
        </is>
      </c>
      <c r="P99" s="4" t="n"/>
    </row>
    <row r="100">
      <c r="A100" s="3" t="inlineStr">
        <is>
          <t>Brazil|Federal University of Sergipe</t>
        </is>
      </c>
      <c r="B100" s="3" t="inlineStr">
        <is>
          <t>Brazil</t>
        </is>
      </c>
      <c r="C100" s="3" t="inlineStr">
        <is>
          <t>Сан-Кристован</t>
        </is>
      </c>
      <c r="D100" s="3" t="inlineStr">
        <is>
          <t>Federal University of Sergipe</t>
        </is>
      </c>
      <c r="E100" s="3" t="inlineStr">
        <is>
          <t>Universidade Federal de Sergipe (UFS)</t>
        </is>
      </c>
      <c r="F100" s="3" t="inlineStr">
        <is>
          <t>https://www.ufs.br</t>
        </is>
      </c>
      <c r="G100" s="3" t="inlineStr"/>
      <c r="H100" s="3" t="inlineStr"/>
      <c r="I100" s="3" t="inlineStr"/>
      <c r="J100" s="4" t="inlineStr">
        <is>
          <t>не в рейтинге</t>
        </is>
      </c>
      <c r="K100" s="4" t="inlineStr">
        <is>
          <t>не в рейтинге</t>
        </is>
      </c>
      <c r="L100" s="4" t="inlineStr">
        <is>
          <t>нет в опубл. списке (опубликован только топ-15 страны)</t>
        </is>
      </c>
      <c r="M100" s="4" t="inlineStr">
        <is>
          <t>RUF 2025 (Folha)</t>
        </is>
      </c>
      <c r="N100" s="4" t="inlineStr">
        <is>
          <t>32</t>
        </is>
      </c>
      <c r="O100" s="4" t="inlineStr">
        <is>
          <t>https://ruf.folha.uol.com.br/2025/ranking-de-universidades/principal/</t>
        </is>
      </c>
      <c r="P100" s="4" t="n"/>
    </row>
    <row r="101">
      <c r="A101" s="3" t="inlineStr">
        <is>
          <t>Brazil|Federal University of Southern Bahia</t>
        </is>
      </c>
      <c r="B101" s="3" t="inlineStr">
        <is>
          <t>Brazil</t>
        </is>
      </c>
      <c r="C101" s="3" t="inlineStr">
        <is>
          <t>Итабуна</t>
        </is>
      </c>
      <c r="D101" s="3" t="inlineStr">
        <is>
          <t>Federal University of Southern Bahia</t>
        </is>
      </c>
      <c r="E101" s="3" t="inlineStr">
        <is>
          <t>Universidade Federal do Sul da Bahia (UFSB)</t>
        </is>
      </c>
      <c r="F101" s="3" t="inlineStr">
        <is>
          <t>https://ufsb.edu.br</t>
        </is>
      </c>
      <c r="G101" s="3" t="inlineStr"/>
      <c r="H101" s="3" t="inlineStr"/>
      <c r="I101" s="3" t="inlineStr"/>
      <c r="J101" s="4" t="inlineStr">
        <is>
          <t>не в рейтинге</t>
        </is>
      </c>
      <c r="K101" s="4" t="inlineStr">
        <is>
          <t>не в рейтинге</t>
        </is>
      </c>
      <c r="L101" s="4" t="inlineStr">
        <is>
          <t>нет в опубл. списке (опубликован только топ-15 страны)</t>
        </is>
      </c>
      <c r="M101" s="4" t="inlineStr">
        <is>
          <t>RUF 2025 (Folha)</t>
        </is>
      </c>
      <c r="N101" s="4" t="inlineStr">
        <is>
          <t>114</t>
        </is>
      </c>
      <c r="O101" s="4" t="inlineStr">
        <is>
          <t>https://ruf.folha.uol.com.br/2025/ranking-de-universidades/principal/</t>
        </is>
      </c>
      <c r="P101" s="4" t="n"/>
    </row>
    <row r="102">
      <c r="A102" s="3" t="inlineStr">
        <is>
          <t>Brazil|Federal University of São Carlos</t>
        </is>
      </c>
      <c r="B102" s="3" t="inlineStr">
        <is>
          <t>Brazil</t>
        </is>
      </c>
      <c r="C102" s="3" t="inlineStr">
        <is>
          <t>Сан-Карлус</t>
        </is>
      </c>
      <c r="D102" s="3" t="inlineStr">
        <is>
          <t>Federal University of São Carlos</t>
        </is>
      </c>
      <c r="E102" s="3" t="inlineStr">
        <is>
          <t>Universidade Federal de São Carlos</t>
        </is>
      </c>
      <c r="F102" s="3" t="inlineStr">
        <is>
          <t>https://www.ufscar.br</t>
        </is>
      </c>
      <c r="G102" s="3" t="inlineStr">
        <is>
          <t>QS2027: 1001-1200</t>
        </is>
      </c>
      <c r="H102" s="3" t="inlineStr">
        <is>
          <t>THE2027: 1201–1400</t>
        </is>
      </c>
      <c r="I102" s="3" t="inlineStr"/>
      <c r="J102" s="4" t="inlineStr">
        <is>
          <t>1001–1200</t>
        </is>
      </c>
      <c r="K102" s="4" t="inlineStr">
        <is>
          <t>1201–1400</t>
        </is>
      </c>
      <c r="L102" s="4" t="inlineStr">
        <is>
          <t>722</t>
        </is>
      </c>
      <c r="M102" s="4" t="inlineStr">
        <is>
          <t>RUF 2025 (Folha)</t>
        </is>
      </c>
      <c r="N102" s="4" t="inlineStr">
        <is>
          <t>10</t>
        </is>
      </c>
      <c r="O10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102" s="4" t="n"/>
    </row>
    <row r="103">
      <c r="A103" s="3" t="inlineStr">
        <is>
          <t>Brazil|Federal University of São João del-Rei</t>
        </is>
      </c>
      <c r="B103" s="3" t="inlineStr">
        <is>
          <t>Brazil</t>
        </is>
      </c>
      <c r="C103" s="3" t="inlineStr">
        <is>
          <t>Сан-Жуан-дел-Рей</t>
        </is>
      </c>
      <c r="D103" s="3" t="inlineStr">
        <is>
          <t>Federal University of São João del-Rei</t>
        </is>
      </c>
      <c r="E103" s="3" t="inlineStr">
        <is>
          <t>Universidade Federal de São João del-Rei</t>
        </is>
      </c>
      <c r="F103" s="3" t="inlineStr">
        <is>
          <t>https://ufsj.edu.br</t>
        </is>
      </c>
      <c r="G103" s="3" t="inlineStr"/>
      <c r="H103" s="3" t="inlineStr"/>
      <c r="I103" s="3" t="inlineStr"/>
      <c r="J103" s="4" t="inlineStr">
        <is>
          <t>не в рейтинге</t>
        </is>
      </c>
      <c r="K103" s="4" t="inlineStr">
        <is>
          <t>не в рейтинге</t>
        </is>
      </c>
      <c r="L103" s="4" t="inlineStr">
        <is>
          <t>нет в опубл. списке (опубликован только топ-15 страны)</t>
        </is>
      </c>
      <c r="M103" s="4" t="inlineStr">
        <is>
          <t>RUF 2025 (Folha)</t>
        </is>
      </c>
      <c r="N103" s="4" t="inlineStr">
        <is>
          <t>63</t>
        </is>
      </c>
      <c r="O103" s="4" t="inlineStr">
        <is>
          <t>https://ruf.folha.uol.com.br/2025/ranking-de-universidades/principal/</t>
        </is>
      </c>
      <c r="P103" s="4" t="n"/>
    </row>
    <row r="104">
      <c r="A104" s="3" t="inlineStr">
        <is>
          <t>Brazil|Federal University of Technology – Paraná (UTFPR)</t>
        </is>
      </c>
      <c r="B104" s="3" t="inlineStr">
        <is>
          <t>Brazil</t>
        </is>
      </c>
      <c r="C104" s="3" t="inlineStr">
        <is>
          <t>Куритиба</t>
        </is>
      </c>
      <c r="D104" s="3" t="inlineStr">
        <is>
          <t>Federal University of Technology – Paraná (UTFPR)</t>
        </is>
      </c>
      <c r="E104" s="3" t="inlineStr">
        <is>
          <t>Universidade Tecnológica Federal do Paraná (UTFPR)</t>
        </is>
      </c>
      <c r="F104" s="3" t="inlineStr">
        <is>
          <t>https://www.utfpr.edu.br</t>
        </is>
      </c>
      <c r="G104" s="3" t="inlineStr"/>
      <c r="H104" s="3" t="inlineStr"/>
      <c r="I104" s="3" t="inlineStr"/>
      <c r="J104" s="4" t="inlineStr">
        <is>
          <t>не в рейтинге</t>
        </is>
      </c>
      <c r="K104" s="4" t="inlineStr">
        <is>
          <t>не в рейтинге</t>
        </is>
      </c>
      <c r="L104" s="4" t="inlineStr">
        <is>
          <t>нет в опубл. списке (опубликован только топ-15 страны)</t>
        </is>
      </c>
      <c r="M104" s="4" t="inlineStr">
        <is>
          <t>RUF 2025 (Folha)</t>
        </is>
      </c>
      <c r="N104" s="4" t="inlineStr">
        <is>
          <t>37</t>
        </is>
      </c>
      <c r="O104" s="4" t="inlineStr">
        <is>
          <t>https://ruf.folha.uol.com.br/2025/ranking-de-universidades/principal/</t>
        </is>
      </c>
      <c r="P104" s="4" t="n"/>
    </row>
    <row r="105">
      <c r="A105" s="3" t="inlineStr">
        <is>
          <t>Brazil|Federal University of Triângulo Mineiro</t>
        </is>
      </c>
      <c r="B105" s="3" t="inlineStr">
        <is>
          <t>Brazil</t>
        </is>
      </c>
      <c r="C105" s="3" t="inlineStr">
        <is>
          <t>Убераба</t>
        </is>
      </c>
      <c r="D105" s="3" t="inlineStr">
        <is>
          <t>Federal University of Triângulo Mineiro</t>
        </is>
      </c>
      <c r="E105" s="3" t="inlineStr">
        <is>
          <t>Universidade Federal do Triângulo Mineiro (UFTM)</t>
        </is>
      </c>
      <c r="F105" s="3" t="inlineStr">
        <is>
          <t>https://www.uftm.edu.br</t>
        </is>
      </c>
      <c r="G105" s="3" t="inlineStr"/>
      <c r="H105" s="3" t="inlineStr"/>
      <c r="I105" s="3" t="inlineStr"/>
      <c r="J105" s="4" t="inlineStr">
        <is>
          <t>не в рейтинге</t>
        </is>
      </c>
      <c r="K105" s="4" t="inlineStr">
        <is>
          <t>не в рейтинге</t>
        </is>
      </c>
      <c r="L105" s="4" t="inlineStr">
        <is>
          <t>нет в опубл. списке (опубликован только топ-15 страны)</t>
        </is>
      </c>
      <c r="M105" s="4" t="inlineStr">
        <is>
          <t>RUF 2025 (Folha)</t>
        </is>
      </c>
      <c r="N105" s="4" t="inlineStr">
        <is>
          <t>56</t>
        </is>
      </c>
      <c r="O105" s="4" t="inlineStr">
        <is>
          <t>https://ruf.folha.uol.com.br/2025/ranking-de-universidades/principal/</t>
        </is>
      </c>
      <c r="P105" s="4" t="n"/>
    </row>
    <row r="106">
      <c r="A106" s="3" t="inlineStr">
        <is>
          <t>Brazil|Federal University of Uberlândia (UFU)</t>
        </is>
      </c>
      <c r="B106" s="3" t="inlineStr">
        <is>
          <t>Brazil</t>
        </is>
      </c>
      <c r="C106" s="3" t="inlineStr">
        <is>
          <t>Уберландия</t>
        </is>
      </c>
      <c r="D106" s="3" t="inlineStr">
        <is>
          <t>Federal University of Uberlândia (UFU)</t>
        </is>
      </c>
      <c r="E106" s="3" t="inlineStr">
        <is>
          <t>Universidade Federal de Uberlândia (UFU)</t>
        </is>
      </c>
      <c r="F106" s="3" t="inlineStr">
        <is>
          <t>https://ufu.br</t>
        </is>
      </c>
      <c r="G106" s="3" t="inlineStr"/>
      <c r="H106" s="3" t="inlineStr">
        <is>
          <t>THE2027: 1601–1800</t>
        </is>
      </c>
      <c r="I106" s="3" t="inlineStr"/>
      <c r="J106" s="4" t="inlineStr">
        <is>
          <t>не в рейтинге</t>
        </is>
      </c>
      <c r="K106" s="4" t="inlineStr">
        <is>
          <t>1601–1800</t>
        </is>
      </c>
      <c r="L106" s="4" t="inlineStr">
        <is>
          <t>нет в опубл. списке (опубликован только топ-15 страны)</t>
        </is>
      </c>
      <c r="M106" s="4" t="inlineStr">
        <is>
          <t>RUF 2025 (Folha)</t>
        </is>
      </c>
      <c r="N106" s="4" t="inlineStr">
        <is>
          <t>16</t>
        </is>
      </c>
      <c r="O106" s="4" t="inlineStr">
        <is>
          <t>https://www.timeshighereducation.com/world-university-rankings/2027/world-ranking
https://ruf.folha.uol.com.br/2025/ranking-de-universidades/principal/</t>
        </is>
      </c>
      <c r="P106" s="4" t="n"/>
    </row>
    <row r="107">
      <c r="A107" s="3" t="inlineStr">
        <is>
          <t>Brazil|Federal University of Vale do São Francisco</t>
        </is>
      </c>
      <c r="B107" s="3" t="inlineStr">
        <is>
          <t>Brazil</t>
        </is>
      </c>
      <c r="C107" s="3" t="inlineStr">
        <is>
          <t>Петролина</t>
        </is>
      </c>
      <c r="D107" s="3" t="inlineStr">
        <is>
          <t>Federal University of Vale do São Francisco</t>
        </is>
      </c>
      <c r="E107" s="3" t="inlineStr">
        <is>
          <t>Universidade Federal do Vale do São Francisco (UNIVASF)</t>
        </is>
      </c>
      <c r="F107" s="3" t="inlineStr">
        <is>
          <t>https://portais.univasf.edu.br</t>
        </is>
      </c>
      <c r="G107" s="3" t="inlineStr"/>
      <c r="H107" s="3" t="inlineStr"/>
      <c r="I107" s="3" t="inlineStr"/>
      <c r="J107" s="4" t="inlineStr">
        <is>
          <t>не в рейтинге</t>
        </is>
      </c>
      <c r="K107" s="4" t="inlineStr">
        <is>
          <t>не в рейтинге</t>
        </is>
      </c>
      <c r="L107" s="4" t="inlineStr">
        <is>
          <t>нет в опубл. списке (опубликован только топ-15 страны)</t>
        </is>
      </c>
      <c r="M107" s="4" t="inlineStr">
        <is>
          <t>RUF 2025 (Folha)</t>
        </is>
      </c>
      <c r="N107" s="4" t="inlineStr">
        <is>
          <t>85</t>
        </is>
      </c>
      <c r="O107" s="4" t="inlineStr">
        <is>
          <t>https://ruf.folha.uol.com.br/2025/ranking-de-universidades/principal/</t>
        </is>
      </c>
      <c r="P107" s="4" t="n"/>
    </row>
    <row r="108">
      <c r="A108" s="3" t="inlineStr">
        <is>
          <t>Brazil|Federal University of Viçosa</t>
        </is>
      </c>
      <c r="B108" s="3" t="inlineStr">
        <is>
          <t>Brazil</t>
        </is>
      </c>
      <c r="C108" s="3" t="inlineStr">
        <is>
          <t>Висоза</t>
        </is>
      </c>
      <c r="D108" s="3" t="inlineStr">
        <is>
          <t>Federal University of Viçosa</t>
        </is>
      </c>
      <c r="E108" s="3" t="inlineStr">
        <is>
          <t>Universidade Federal de Viçosa (UFV)</t>
        </is>
      </c>
      <c r="F108" s="3" t="inlineStr">
        <is>
          <t>https://www.ufv.br</t>
        </is>
      </c>
      <c r="G108" s="3" t="inlineStr">
        <is>
          <t>QS2027: 1401+</t>
        </is>
      </c>
      <c r="H108" s="3" t="inlineStr">
        <is>
          <t>THE2027: 1601–1800</t>
        </is>
      </c>
      <c r="I108" s="3" t="inlineStr"/>
      <c r="J108" s="4" t="inlineStr">
        <is>
          <t>1401+</t>
        </is>
      </c>
      <c r="K108" s="4" t="inlineStr">
        <is>
          <t>1601–1800</t>
        </is>
      </c>
      <c r="L108" s="4" t="inlineStr">
        <is>
          <t>нет в опубл. списке (опубликован только топ-15 страны)</t>
        </is>
      </c>
      <c r="M108" s="4" t="inlineStr">
        <is>
          <t>RUF 2025 (Folha)</t>
        </is>
      </c>
      <c r="N108" s="4" t="inlineStr">
        <is>
          <t>18</t>
        </is>
      </c>
      <c r="O108" s="4" t="inlineStr">
        <is>
          <t>https://www.topuniversities.com/world-university-rankings (QS WUR 2027)
https://www.timeshighereducation.com/world-university-rankings/2027/world-ranking
https://ruf.folha.uol.com.br/2025/ranking-de-universidades/principal/</t>
        </is>
      </c>
      <c r="P108" s="4" t="n"/>
    </row>
    <row r="109">
      <c r="A109" s="3" t="inlineStr">
        <is>
          <t>Brazil|Federal University of Western Bahia (UFOB)</t>
        </is>
      </c>
      <c r="B109" s="3" t="inlineStr">
        <is>
          <t>Brazil</t>
        </is>
      </c>
      <c r="C109" s="3" t="inlineStr">
        <is>
          <t>Баррейрас</t>
        </is>
      </c>
      <c r="D109" s="3" t="inlineStr">
        <is>
          <t>Federal University of Western Bahia (UFOB)</t>
        </is>
      </c>
      <c r="E109" s="3" t="inlineStr">
        <is>
          <t>Universidade Federal do Oeste da Bahia (UFOB)</t>
        </is>
      </c>
      <c r="F109" s="3" t="inlineStr">
        <is>
          <t>https://ufob.edu.br</t>
        </is>
      </c>
      <c r="G109" s="3" t="inlineStr"/>
      <c r="H109" s="3" t="inlineStr"/>
      <c r="I109" s="3" t="inlineStr"/>
      <c r="J109" s="4" t="inlineStr">
        <is>
          <t>не в рейтинге</t>
        </is>
      </c>
      <c r="K109" s="4" t="inlineStr">
        <is>
          <t>не в рейтинге</t>
        </is>
      </c>
      <c r="L109" s="4" t="inlineStr">
        <is>
          <t>нет в опубл. списке (опубликован только топ-15 страны)</t>
        </is>
      </c>
      <c r="M109" s="4" t="inlineStr">
        <is>
          <t>RUF 2025 (Folha)</t>
        </is>
      </c>
      <c r="N109" s="4" t="inlineStr">
        <is>
          <t>157</t>
        </is>
      </c>
      <c r="O109" s="4" t="inlineStr">
        <is>
          <t>https://ruf.folha.uol.com.br/2025/ranking-de-universidades/principal/</t>
        </is>
      </c>
      <c r="P109" s="4" t="n"/>
    </row>
    <row r="110">
      <c r="A110" s="3" t="inlineStr">
        <is>
          <t>Brazil|Federal University of Western Pará (UFOPA)</t>
        </is>
      </c>
      <c r="B110" s="3" t="inlineStr">
        <is>
          <t>Brazil</t>
        </is>
      </c>
      <c r="C110" s="3" t="inlineStr">
        <is>
          <t>Сантарен</t>
        </is>
      </c>
      <c r="D110" s="3" t="inlineStr">
        <is>
          <t>Federal University of Western Pará (UFOPA)</t>
        </is>
      </c>
      <c r="E110" s="3" t="inlineStr">
        <is>
          <t>Universidade Federal do Oeste do Pará (UFOPA)</t>
        </is>
      </c>
      <c r="F110" s="3" t="inlineStr">
        <is>
          <t>https://www.ufopa.edu.br</t>
        </is>
      </c>
      <c r="G110" s="3" t="inlineStr"/>
      <c r="H110" s="3" t="inlineStr"/>
      <c r="I110" s="3" t="inlineStr"/>
      <c r="J110" s="4" t="inlineStr">
        <is>
          <t>не в рейтинге</t>
        </is>
      </c>
      <c r="K110" s="4" t="inlineStr">
        <is>
          <t>не в рейтинге</t>
        </is>
      </c>
      <c r="L110" s="4" t="inlineStr">
        <is>
          <t>нет в опубл. списке (опубликован только топ-15 страны)</t>
        </is>
      </c>
      <c r="M110" s="4" t="inlineStr">
        <is>
          <t>RUF 2025 (Folha)</t>
        </is>
      </c>
      <c r="N110" s="4" t="inlineStr">
        <is>
          <t>135</t>
        </is>
      </c>
      <c r="O110" s="4" t="inlineStr">
        <is>
          <t>https://ruf.folha.uol.com.br/2025/ranking-de-universidades/principal/</t>
        </is>
      </c>
      <c r="P110" s="4" t="n"/>
    </row>
    <row r="111">
      <c r="A111" s="3" t="inlineStr">
        <is>
          <t>Brazil|Federal University of the Jequitinhonha and Mucuri Valleys</t>
        </is>
      </c>
      <c r="B111" s="3" t="inlineStr">
        <is>
          <t>Brazil</t>
        </is>
      </c>
      <c r="C111" s="3" t="inlineStr">
        <is>
          <t>Диамантина</t>
        </is>
      </c>
      <c r="D111" s="3" t="inlineStr">
        <is>
          <t>Federal University of the Jequitinhonha and Mucuri Valleys</t>
        </is>
      </c>
      <c r="E111" s="3" t="inlineStr">
        <is>
          <t>Universidade Federal dos Vales do Jequitinhonha e Mucuri (UFVJM)</t>
        </is>
      </c>
      <c r="F111" s="3" t="inlineStr">
        <is>
          <t>https://portal.ufvjm.edu.br</t>
        </is>
      </c>
      <c r="G111" s="3" t="inlineStr"/>
      <c r="H111" s="3" t="inlineStr"/>
      <c r="I111" s="3" t="inlineStr"/>
      <c r="J111" s="4" t="inlineStr">
        <is>
          <t>не в рейтинге</t>
        </is>
      </c>
      <c r="K111" s="4" t="inlineStr">
        <is>
          <t>не в рейтинге</t>
        </is>
      </c>
      <c r="L111" s="4" t="inlineStr">
        <is>
          <t>нет в опубл. списке (опубликован только топ-15 страны)</t>
        </is>
      </c>
      <c r="M111" s="4" t="inlineStr">
        <is>
          <t>RUF 2025 (Folha)</t>
        </is>
      </c>
      <c r="N111" s="4" t="inlineStr">
        <is>
          <t>84</t>
        </is>
      </c>
      <c r="O111" s="4" t="inlineStr">
        <is>
          <t>https://ruf.folha.uol.com.br/2025/ranking-de-universidades/principal/</t>
        </is>
      </c>
      <c r="P111" s="4" t="n"/>
    </row>
    <row r="112">
      <c r="A112" s="3" t="inlineStr">
        <is>
          <t>Brazil|Federal University of the State of Rio de Janeiro (UNIRIO)</t>
        </is>
      </c>
      <c r="B112" s="3" t="inlineStr">
        <is>
          <t>Brazil</t>
        </is>
      </c>
      <c r="C112" s="3" t="inlineStr">
        <is>
          <t>Рио-де-Жанейро</t>
        </is>
      </c>
      <c r="D112" s="3" t="inlineStr">
        <is>
          <t>Federal University of the State of Rio de Janeiro (UNIRIO)</t>
        </is>
      </c>
      <c r="E112" s="3" t="inlineStr">
        <is>
          <t>Universidade Federal do Estado do Rio de Janeiro (UNIRIO)</t>
        </is>
      </c>
      <c r="F112" s="3" t="inlineStr">
        <is>
          <t>https://www.unirio.br</t>
        </is>
      </c>
      <c r="G112" s="3" t="inlineStr"/>
      <c r="H112" s="3" t="inlineStr"/>
      <c r="I112" s="3" t="inlineStr"/>
      <c r="J112" s="4" t="inlineStr">
        <is>
          <t>не в рейтинге</t>
        </is>
      </c>
      <c r="K112" s="4" t="inlineStr">
        <is>
          <t>не в рейтинге</t>
        </is>
      </c>
      <c r="L112" s="4" t="inlineStr">
        <is>
          <t>нет в опубл. списке (опубликован только топ-15 страны)</t>
        </is>
      </c>
      <c r="M112" s="4" t="inlineStr">
        <is>
          <t>RUF 2025 (Folha)</t>
        </is>
      </c>
      <c r="N112" s="4" t="inlineStr">
        <is>
          <t>66</t>
        </is>
      </c>
      <c r="O112" s="4" t="inlineStr">
        <is>
          <t>https://ruf.folha.uol.com.br/2025/ranking-de-universidades/principal/</t>
        </is>
      </c>
      <c r="P112" s="4" t="n"/>
    </row>
    <row r="113">
      <c r="A113" s="3" t="inlineStr">
        <is>
          <t>Brazil|Fluminense Federal Institute of Education, Science and Technology (IFFluminense)</t>
        </is>
      </c>
      <c r="B113" s="3" t="inlineStr">
        <is>
          <t>Brazil</t>
        </is>
      </c>
      <c r="C113" s="3" t="inlineStr">
        <is>
          <t>Кампус-дус-Гойтаказис</t>
        </is>
      </c>
      <c r="D113" s="3" t="inlineStr">
        <is>
          <t>Fluminense Federal Institute of Education, Science and Technology (IFFluminense)</t>
        </is>
      </c>
      <c r="E113" s="3" t="inlineStr">
        <is>
          <t>Instituto Federal de Educação, Ciência e Tecnologia Fluminense (IFFluminense)</t>
        </is>
      </c>
      <c r="F113" s="3" t="inlineStr">
        <is>
          <t>https://portal1.iff.edu.br</t>
        </is>
      </c>
      <c r="G113" s="3" t="inlineStr"/>
      <c r="H113" s="3" t="inlineStr"/>
      <c r="I113" s="3" t="inlineStr"/>
      <c r="J113" s="4" t="inlineStr">
        <is>
          <t>не в рейтинге</t>
        </is>
      </c>
      <c r="K113" s="4" t="inlineStr">
        <is>
          <t>не в рейтинге</t>
        </is>
      </c>
      <c r="L113" s="4" t="inlineStr">
        <is>
          <t>нет в опубл. списке (опубликован только топ-15 страны)</t>
        </is>
      </c>
      <c r="M113" s="4" t="inlineStr">
        <is>
          <t>RUF 2025 (Folha)</t>
        </is>
      </c>
      <c r="N113" s="4" t="inlineStr">
        <is>
          <t>не в рейтинге</t>
        </is>
      </c>
      <c r="O113" s="4" t="inlineStr">
        <is>
          <t>https://ruf.folha.uol.com.br/2025/ranking-de-universidades/principal/</t>
        </is>
      </c>
      <c r="P113" s="4" t="inlineStr">
        <is>
          <t>Федеральный институт (IF), не университет: RUF ранжирует в общем рейтинге только universidades; IF есть лишь в рейтингах курсов.</t>
        </is>
      </c>
    </row>
    <row r="114">
      <c r="A114" s="3" t="inlineStr">
        <is>
          <t>Brazil|Fluminense Federal University</t>
        </is>
      </c>
      <c r="B114" s="3" t="inlineStr">
        <is>
          <t>Brazil</t>
        </is>
      </c>
      <c r="C114" s="3" t="inlineStr">
        <is>
          <t>Нитерой</t>
        </is>
      </c>
      <c r="D114" s="3" t="inlineStr">
        <is>
          <t>Fluminense Federal University</t>
        </is>
      </c>
      <c r="E114" s="3" t="inlineStr">
        <is>
          <t>Universidade Federal Fluminense (UFF)</t>
        </is>
      </c>
      <c r="F114" s="3" t="inlineStr">
        <is>
          <t>https://www.uff.br</t>
        </is>
      </c>
      <c r="G114" s="3" t="inlineStr"/>
      <c r="H114" s="3" t="inlineStr">
        <is>
          <t>THE2027: 1601–1800</t>
        </is>
      </c>
      <c r="I114" s="3" t="inlineStr"/>
      <c r="J114" s="4" t="inlineStr">
        <is>
          <t>1201–1400</t>
        </is>
      </c>
      <c r="K114" s="4" t="inlineStr">
        <is>
          <t>1601–1800</t>
        </is>
      </c>
      <c r="L114" s="4" t="inlineStr">
        <is>
          <t>нет в опубл. списке (опубликован только топ-15 страны)</t>
        </is>
      </c>
      <c r="M114" s="4" t="inlineStr">
        <is>
          <t>RUF 2025 (Folha)</t>
        </is>
      </c>
      <c r="N114" s="4" t="inlineStr">
        <is>
          <t>15</t>
        </is>
      </c>
      <c r="O114" s="4" t="inlineStr">
        <is>
          <t>https://www.topuniversities.com/world-university-rankings (QS WUR 2027)
https://www.timeshighereducation.com/world-university-rankings/2027/world-ranking
https://ruf.folha.uol.com.br/2025/ranking-de-universidades/principal/</t>
        </is>
      </c>
      <c r="P114" s="4" t="n"/>
    </row>
    <row r="115">
      <c r="A115" s="3" t="inlineStr">
        <is>
          <t>Brazil|Getulio Vargas Foundation (FGV)</t>
        </is>
      </c>
      <c r="B115" s="3" t="inlineStr">
        <is>
          <t>Brazil</t>
        </is>
      </c>
      <c r="C115" s="3" t="inlineStr">
        <is>
          <t>Рио-де-Жанейро</t>
        </is>
      </c>
      <c r="D115" s="3" t="inlineStr">
        <is>
          <t>Getulio Vargas Foundation (FGV)</t>
        </is>
      </c>
      <c r="E115" s="3" t="inlineStr">
        <is>
          <t>Fundação Getulio Vargas (FGV)</t>
        </is>
      </c>
      <c r="F115" s="3" t="inlineStr">
        <is>
          <t>https://portal.fgv.br</t>
        </is>
      </c>
      <c r="G115" s="3" t="inlineStr"/>
      <c r="H115" s="3" t="inlineStr"/>
      <c r="I115" s="3" t="inlineStr"/>
      <c r="J115" s="4" t="inlineStr">
        <is>
          <t>не в рейтинге</t>
        </is>
      </c>
      <c r="K115" s="4" t="inlineStr">
        <is>
          <t>не в рейтинге</t>
        </is>
      </c>
      <c r="L115" s="4" t="inlineStr">
        <is>
          <t>нет в опубл. списке (опубликован только топ-15 страны)</t>
        </is>
      </c>
      <c r="M115" s="4" t="inlineStr">
        <is>
          <t>RUF 2025 (Folha)</t>
        </is>
      </c>
      <c r="N115" s="4" t="inlineStr">
        <is>
          <t>не в рейтинге</t>
        </is>
      </c>
      <c r="O115" s="4" t="inlineStr">
        <is>
          <t>https://ruf.folha.uol.com.br/2025/ranking-de-universidades/principal/</t>
        </is>
      </c>
      <c r="P115" s="4" t="inlineStr">
        <is>
          <t>FGV не университет (фонд со школами); в рейтинге университетов RUF 2025 отсутствует.</t>
        </is>
      </c>
    </row>
    <row r="116">
      <c r="A116" s="3" t="inlineStr">
        <is>
          <t>Brazil|Mackenzie Presbyterian University</t>
        </is>
      </c>
      <c r="B116" s="3" t="inlineStr">
        <is>
          <t>Brazil</t>
        </is>
      </c>
      <c r="C116" s="3" t="inlineStr">
        <is>
          <t>Сан-Паулу</t>
        </is>
      </c>
      <c r="D116" s="3" t="inlineStr">
        <is>
          <t>Mackenzie Presbyterian University</t>
        </is>
      </c>
      <c r="E116" s="3" t="inlineStr">
        <is>
          <t>Universidade Presbiteriana Mackenzie (UPM)</t>
        </is>
      </c>
      <c r="F116" s="3" t="inlineStr">
        <is>
          <t>https://www.mackenzie.br</t>
        </is>
      </c>
      <c r="G116" s="3" t="inlineStr">
        <is>
          <t>QS2027: 1401+</t>
        </is>
      </c>
      <c r="H116" s="3" t="inlineStr">
        <is>
          <t>THE2027: 2001+</t>
        </is>
      </c>
      <c r="I116" s="3" t="inlineStr"/>
      <c r="J116" s="4" t="inlineStr">
        <is>
          <t>1401+</t>
        </is>
      </c>
      <c r="K116" s="4" t="inlineStr">
        <is>
          <t>2001+</t>
        </is>
      </c>
      <c r="L116" s="4" t="inlineStr">
        <is>
          <t>нет в опубл. списке (опубликован только топ-15 страны)</t>
        </is>
      </c>
      <c r="M116" s="4" t="inlineStr">
        <is>
          <t>RUF 2025 (Folha)</t>
        </is>
      </c>
      <c r="N116" s="4" t="inlineStr">
        <is>
          <t>42</t>
        </is>
      </c>
      <c r="O116" s="4" t="inlineStr">
        <is>
          <t>https://www.topuniversities.com/world-university-rankings (QS WUR 2027)
https://www.timeshighereducation.com/world-university-rankings/2027/world-ranking
https://ruf.folha.uol.com.br/2025/ranking-de-universidades/principal/</t>
        </is>
      </c>
      <c r="P116" s="4" t="n"/>
    </row>
    <row r="117">
      <c r="A117" s="3" t="inlineStr">
        <is>
          <t>Brazil|Mato Grosso State University (UNEMAT)</t>
        </is>
      </c>
      <c r="B117" s="3" t="inlineStr">
        <is>
          <t>Brazil</t>
        </is>
      </c>
      <c r="C117" s="3" t="inlineStr">
        <is>
          <t>Касерис</t>
        </is>
      </c>
      <c r="D117" s="3" t="inlineStr">
        <is>
          <t>Mato Grosso State University (UNEMAT)</t>
        </is>
      </c>
      <c r="E117" s="3" t="inlineStr">
        <is>
          <t>Universidade do Estado de Mato Grosso Carlos Alberto Reyes Maldonado (UNEMAT)</t>
        </is>
      </c>
      <c r="F117" s="3" t="inlineStr">
        <is>
          <t>https://unemat.br</t>
        </is>
      </c>
      <c r="G117" s="3" t="inlineStr"/>
      <c r="H117" s="3" t="inlineStr"/>
      <c r="I117" s="3" t="inlineStr"/>
      <c r="J117" s="4" t="inlineStr">
        <is>
          <t>не в рейтинге</t>
        </is>
      </c>
      <c r="K117" s="4" t="inlineStr">
        <is>
          <t>не в рейтинге</t>
        </is>
      </c>
      <c r="L117" s="4" t="inlineStr">
        <is>
          <t>нет в опубл. списке (опубликован только топ-15 страны)</t>
        </is>
      </c>
      <c r="M117" s="4" t="inlineStr">
        <is>
          <t>RUF 2025 (Folha)</t>
        </is>
      </c>
      <c r="N117" s="4" t="inlineStr">
        <is>
          <t>112</t>
        </is>
      </c>
      <c r="O117" s="4" t="inlineStr">
        <is>
          <t>https://ruf.folha.uol.com.br/2025/ranking-de-universidades/principal/</t>
        </is>
      </c>
      <c r="P117" s="4" t="n"/>
    </row>
    <row r="118">
      <c r="A118" s="3" t="inlineStr">
        <is>
          <t>Brazil|Mato Grosso do Sul State University</t>
        </is>
      </c>
      <c r="B118" s="3" t="inlineStr">
        <is>
          <t>Brazil</t>
        </is>
      </c>
      <c r="C118" s="3" t="inlineStr">
        <is>
          <t>Дорадус</t>
        </is>
      </c>
      <c r="D118" s="3" t="inlineStr">
        <is>
          <t>Mato Grosso do Sul State University</t>
        </is>
      </c>
      <c r="E118" s="3" t="inlineStr">
        <is>
          <t>Universidade Estadual de Mato Grosso do Sul (UEMS)</t>
        </is>
      </c>
      <c r="F118" s="3" t="inlineStr">
        <is>
          <t>https://www.uems.br</t>
        </is>
      </c>
      <c r="G118" s="3" t="inlineStr"/>
      <c r="H118" s="3" t="inlineStr"/>
      <c r="I118" s="3" t="inlineStr"/>
      <c r="J118" s="4" t="inlineStr">
        <is>
          <t>не в рейтинге</t>
        </is>
      </c>
      <c r="K118" s="4" t="inlineStr">
        <is>
          <t>не в рейтинге</t>
        </is>
      </c>
      <c r="L118" s="4" t="inlineStr">
        <is>
          <t>нет в опубл. списке (опубликован только топ-15 страны)</t>
        </is>
      </c>
      <c r="M118" s="4" t="inlineStr">
        <is>
          <t>RUF 2025 (Folha)</t>
        </is>
      </c>
      <c r="N118" s="4" t="inlineStr">
        <is>
          <t>113</t>
        </is>
      </c>
      <c r="O118" s="4" t="inlineStr">
        <is>
          <t>https://ruf.folha.uol.com.br/2025/ranking-de-universidades/principal/</t>
        </is>
      </c>
      <c r="P118" s="4" t="n"/>
    </row>
    <row r="119">
      <c r="A119" s="3" t="inlineStr">
        <is>
          <t>Brazil|Midwest State University (UNICENTRO)</t>
        </is>
      </c>
      <c r="B119" s="3" t="inlineStr">
        <is>
          <t>Brazil</t>
        </is>
      </c>
      <c r="C119" s="3" t="inlineStr">
        <is>
          <t>Гуарапуава</t>
        </is>
      </c>
      <c r="D119" s="3" t="inlineStr">
        <is>
          <t>Midwest State University (UNICENTRO)</t>
        </is>
      </c>
      <c r="E119" s="3" t="inlineStr">
        <is>
          <t>Universidade Estadual do Centro-Oeste (UNICENTRO)</t>
        </is>
      </c>
      <c r="F119" s="3" t="inlineStr">
        <is>
          <t>https://www3.unicentro.br</t>
        </is>
      </c>
      <c r="G119" s="3" t="inlineStr"/>
      <c r="H119" s="3" t="inlineStr"/>
      <c r="I119" s="3" t="inlineStr"/>
      <c r="J119" s="4" t="inlineStr">
        <is>
          <t>не в рейтинге</t>
        </is>
      </c>
      <c r="K119" s="4" t="inlineStr">
        <is>
          <t>не в рейтинге</t>
        </is>
      </c>
      <c r="L119" s="4" t="inlineStr">
        <is>
          <t>нет в опубл. списке (опубликован только топ-15 страны)</t>
        </is>
      </c>
      <c r="M119" s="4" t="inlineStr">
        <is>
          <t>RUF 2025 (Folha)</t>
        </is>
      </c>
      <c r="N119" s="4" t="inlineStr">
        <is>
          <t>86</t>
        </is>
      </c>
      <c r="O119" s="4" t="inlineStr">
        <is>
          <t>https://ruf.folha.uol.com.br/2025/ranking-de-universidades/principal/</t>
        </is>
      </c>
      <c r="P119" s="4" t="n"/>
    </row>
    <row r="120">
      <c r="A120" s="3" t="inlineStr">
        <is>
          <t>Brazil|Minas Gerais State University</t>
        </is>
      </c>
      <c r="B120" s="3" t="inlineStr">
        <is>
          <t>Brazil</t>
        </is>
      </c>
      <c r="C120" s="3" t="inlineStr">
        <is>
          <t>Белу-Оризонти</t>
        </is>
      </c>
      <c r="D120" s="3" t="inlineStr">
        <is>
          <t>Minas Gerais State University</t>
        </is>
      </c>
      <c r="E120" s="3" t="inlineStr">
        <is>
          <t>Universidade do Estado de Minas Gerais (UEMG)</t>
        </is>
      </c>
      <c r="F120" s="3" t="inlineStr">
        <is>
          <t>https://www.uemg.br</t>
        </is>
      </c>
      <c r="G120" s="3" t="inlineStr"/>
      <c r="H120" s="3" t="inlineStr"/>
      <c r="I120" s="3" t="inlineStr"/>
      <c r="J120" s="4" t="inlineStr">
        <is>
          <t>не в рейтинге</t>
        </is>
      </c>
      <c r="K120" s="4" t="inlineStr">
        <is>
          <t>не в рейтинге</t>
        </is>
      </c>
      <c r="L120" s="4" t="inlineStr">
        <is>
          <t>нет в опубл. списке (опубликован только топ-15 страны)</t>
        </is>
      </c>
      <c r="M120" s="4" t="inlineStr">
        <is>
          <t>RUF 2025 (Folha)</t>
        </is>
      </c>
      <c r="N120" s="4" t="inlineStr">
        <is>
          <t>111</t>
        </is>
      </c>
      <c r="O120" s="4" t="inlineStr">
        <is>
          <t>https://ruf.folha.uol.com.br/2025/ranking-de-universidades/principal/</t>
        </is>
      </c>
      <c r="P120" s="4" t="n"/>
    </row>
    <row r="121">
      <c r="A121" s="3" t="inlineStr">
        <is>
          <t>Brazil|National Institute for Space Research (INPE)</t>
        </is>
      </c>
      <c r="B121" s="3" t="inlineStr">
        <is>
          <t>Brazil</t>
        </is>
      </c>
      <c r="C121" s="3" t="inlineStr">
        <is>
          <t>Сан-Жозе-дус-Кампус</t>
        </is>
      </c>
      <c r="D121" s="3" t="inlineStr">
        <is>
          <t>National Institute for Space Research (INPE)</t>
        </is>
      </c>
      <c r="E121" s="3" t="inlineStr">
        <is>
          <t>Instituto Nacional de Pesquisas Espaciais (INPE)</t>
        </is>
      </c>
      <c r="F121" s="3" t="inlineStr">
        <is>
          <t>https://www.gov.br/inpe/pt-br</t>
        </is>
      </c>
      <c r="G121" s="3" t="inlineStr"/>
      <c r="H121" s="3" t="inlineStr"/>
      <c r="I121" s="3" t="inlineStr"/>
      <c r="J121" s="4" t="inlineStr">
        <is>
          <t>не в рейтинге</t>
        </is>
      </c>
      <c r="K121" s="4" t="inlineStr">
        <is>
          <t>не в рейтинге</t>
        </is>
      </c>
      <c r="L121" s="4" t="inlineStr">
        <is>
          <t>нет в опубл. списке (опубликован только топ-15 страны)</t>
        </is>
      </c>
      <c r="M121" s="4" t="inlineStr">
        <is>
          <t>RUF 2025 (Folha)</t>
        </is>
      </c>
      <c r="N121" s="4" t="inlineStr">
        <is>
          <t>не в рейтинге</t>
        </is>
      </c>
      <c r="O121" s="4" t="inlineStr">
        <is>
          <t>https://ruf.folha.uol.com.br/2025/ranking-de-universidades/principal/</t>
        </is>
      </c>
      <c r="P121" s="4" t="inlineStr">
        <is>
          <t>Исследовательский институт, не университет; в RUF 2025 отсутствует.</t>
        </is>
      </c>
    </row>
    <row r="122">
      <c r="A122" s="3" t="inlineStr">
        <is>
          <t>Brazil|Nove de Julho University (Uninove)</t>
        </is>
      </c>
      <c r="B122" s="3" t="inlineStr">
        <is>
          <t>Brazil</t>
        </is>
      </c>
      <c r="C122" s="3" t="inlineStr">
        <is>
          <t>Сан-Паулу</t>
        </is>
      </c>
      <c r="D122" s="3" t="inlineStr">
        <is>
          <t>Nove de Julho University (Uninove)</t>
        </is>
      </c>
      <c r="E122" s="3" t="inlineStr">
        <is>
          <t>Universidade Nove de Julho (Uninove)</t>
        </is>
      </c>
      <c r="F122" s="3" t="inlineStr">
        <is>
          <t>https://www.uninove.br</t>
        </is>
      </c>
      <c r="G122" s="3" t="inlineStr"/>
      <c r="H122" s="3" t="inlineStr">
        <is>
          <t>THE2027: 2001+</t>
        </is>
      </c>
      <c r="I122" s="3" t="inlineStr"/>
      <c r="J122" s="4" t="inlineStr">
        <is>
          <t>не в рейтинге</t>
        </is>
      </c>
      <c r="K122" s="4" t="inlineStr">
        <is>
          <t>2001+</t>
        </is>
      </c>
      <c r="L122" s="4" t="inlineStr">
        <is>
          <t>нет в опубл. списке (опубликован только топ-15 страны)</t>
        </is>
      </c>
      <c r="M122" s="4" t="inlineStr">
        <is>
          <t>RUF 2025 (Folha)</t>
        </is>
      </c>
      <c r="N122" s="4" t="inlineStr">
        <is>
          <t>68</t>
        </is>
      </c>
      <c r="O122" s="4" t="inlineStr">
        <is>
          <t>https://www.timeshighereducation.com/world-university-rankings/2027/world-ranking
https://ruf.folha.uol.com.br/2025/ranking-de-universidades/principal/</t>
        </is>
      </c>
      <c r="P122" s="4" t="n"/>
    </row>
    <row r="123">
      <c r="A123" s="3" t="inlineStr">
        <is>
          <t>Brazil|Pontifical Catholic University of Campinas</t>
        </is>
      </c>
      <c r="B123" s="3" t="inlineStr">
        <is>
          <t>Brazil</t>
        </is>
      </c>
      <c r="C123" s="3" t="inlineStr">
        <is>
          <t>Кампинас</t>
        </is>
      </c>
      <c r="D123" s="3" t="inlineStr">
        <is>
          <t>Pontifical Catholic University of Campinas</t>
        </is>
      </c>
      <c r="E123" s="3" t="inlineStr">
        <is>
          <t>Pontifícia Universidade Católica de Campinas (PUC-Campinas)</t>
        </is>
      </c>
      <c r="F123" s="3" t="inlineStr">
        <is>
          <t>https://www.puc-campinas.edu.br</t>
        </is>
      </c>
      <c r="G123" s="3" t="inlineStr"/>
      <c r="H123" s="3" t="inlineStr">
        <is>
          <t>THE2027: 2001+</t>
        </is>
      </c>
      <c r="I123" s="3" t="inlineStr"/>
      <c r="J123" s="4" t="inlineStr">
        <is>
          <t>не в рейтинге</t>
        </is>
      </c>
      <c r="K123" s="4" t="inlineStr">
        <is>
          <t>2001+</t>
        </is>
      </c>
      <c r="L123" s="4" t="inlineStr">
        <is>
          <t>нет в опубл. списке (опубликован только топ-15 страны)</t>
        </is>
      </c>
      <c r="M123" s="4" t="inlineStr">
        <is>
          <t>RUF 2025 (Folha)</t>
        </is>
      </c>
      <c r="N123" s="4" t="inlineStr">
        <is>
          <t>69</t>
        </is>
      </c>
      <c r="O123" s="4" t="inlineStr">
        <is>
          <t>https://www.timeshighereducation.com/world-university-rankings/2027/world-ranking
https://ruf.folha.uol.com.br/2025/ranking-de-universidades/principal/</t>
        </is>
      </c>
      <c r="P123" s="4" t="inlineStr">
        <is>
          <t>THE: в таблице как «PUC-Campinas»</t>
        </is>
      </c>
    </row>
    <row r="124">
      <c r="A124" s="3" t="inlineStr">
        <is>
          <t>Brazil|Pontifical Catholic University of Goiás</t>
        </is>
      </c>
      <c r="B124" s="3" t="inlineStr">
        <is>
          <t>Brazil</t>
        </is>
      </c>
      <c r="C124" s="3" t="inlineStr">
        <is>
          <t>Гоянія</t>
        </is>
      </c>
      <c r="D124" s="3" t="inlineStr">
        <is>
          <t>Pontifical Catholic University of Goiás</t>
        </is>
      </c>
      <c r="E124" s="3" t="inlineStr">
        <is>
          <t>Pontifícia Universidade Católica de Goiás (PUC Goiás)</t>
        </is>
      </c>
      <c r="F124" s="3" t="inlineStr">
        <is>
          <t>https://www.pucgoias.edu.br</t>
        </is>
      </c>
      <c r="G124" s="3" t="inlineStr"/>
      <c r="H124" s="3" t="inlineStr"/>
      <c r="I124" s="3" t="inlineStr"/>
      <c r="J124" s="4" t="inlineStr">
        <is>
          <t>не в рейтинге</t>
        </is>
      </c>
      <c r="K124" s="4" t="inlineStr">
        <is>
          <t>не в рейтинге</t>
        </is>
      </c>
      <c r="L124" s="4" t="inlineStr">
        <is>
          <t>нет в опубл. списке (опубликован только топ-15 страны)</t>
        </is>
      </c>
      <c r="M124" s="4" t="inlineStr">
        <is>
          <t>RUF 2025 (Folha)</t>
        </is>
      </c>
      <c r="N124" s="4" t="inlineStr">
        <is>
          <t>102</t>
        </is>
      </c>
      <c r="O124" s="4" t="inlineStr">
        <is>
          <t>https://ruf.folha.uol.com.br/2025/ranking-de-universidades/principal/</t>
        </is>
      </c>
      <c r="P124" s="4" t="n"/>
    </row>
    <row r="125">
      <c r="A125" s="3" t="inlineStr">
        <is>
          <t>Brazil|Pontifical Catholic University of Minas Gerais (PUC Minas)</t>
        </is>
      </c>
      <c r="B125" s="3" t="inlineStr">
        <is>
          <t>Brazil</t>
        </is>
      </c>
      <c r="C125" s="3" t="inlineStr">
        <is>
          <t>Белу-Оризонти</t>
        </is>
      </c>
      <c r="D125" s="3" t="inlineStr">
        <is>
          <t>Pontifical Catholic University of Minas Gerais (PUC Minas)</t>
        </is>
      </c>
      <c r="E125" s="3" t="inlineStr">
        <is>
          <t>Pontifícia Universidade Católica de Minas Gerais (PUC Minas)</t>
        </is>
      </c>
      <c r="F125" s="3" t="inlineStr">
        <is>
          <t>https://www.pucminas.br</t>
        </is>
      </c>
      <c r="G125" s="3" t="inlineStr"/>
      <c r="H125" s="3" t="inlineStr">
        <is>
          <t>THE2027: 2001+</t>
        </is>
      </c>
      <c r="I125" s="3" t="inlineStr"/>
      <c r="J125" s="4" t="inlineStr">
        <is>
          <t>не в рейтинге</t>
        </is>
      </c>
      <c r="K125" s="4" t="inlineStr">
        <is>
          <t>2001+</t>
        </is>
      </c>
      <c r="L125" s="4" t="inlineStr">
        <is>
          <t>нет в опубл. списке (опубликован только топ-15 страны)</t>
        </is>
      </c>
      <c r="M125" s="4" t="inlineStr">
        <is>
          <t>RUF 2025 (Folha)</t>
        </is>
      </c>
      <c r="N125" s="4" t="inlineStr">
        <is>
          <t>59</t>
        </is>
      </c>
      <c r="O125" s="4" t="inlineStr">
        <is>
          <t>https://www.timeshighereducation.com/world-university-rankings/2027/world-ranking
https://ruf.folha.uol.com.br/2025/ranking-de-universidades/principal/</t>
        </is>
      </c>
      <c r="P125" s="4" t="n"/>
    </row>
    <row r="126">
      <c r="A126" s="3" t="inlineStr">
        <is>
          <t>Brazil|Pontifical Catholic University of Paraná (PUCPR)</t>
        </is>
      </c>
      <c r="B126" s="3" t="inlineStr">
        <is>
          <t>Brazil</t>
        </is>
      </c>
      <c r="C126" s="3" t="inlineStr">
        <is>
          <t>Куритиба</t>
        </is>
      </c>
      <c r="D126" s="3" t="inlineStr">
        <is>
          <t>Pontifical Catholic University of Paraná (PUCPR)</t>
        </is>
      </c>
      <c r="E126" s="3" t="inlineStr">
        <is>
          <t>Pontifícia Universidade Católica do Paraná (PUCPR)</t>
        </is>
      </c>
      <c r="F126" s="3" t="inlineStr">
        <is>
          <t>https://www.pucpr.br</t>
        </is>
      </c>
      <c r="G126" s="3" t="inlineStr"/>
      <c r="H126" s="3" t="inlineStr">
        <is>
          <t>THE2027: 1201–1400</t>
        </is>
      </c>
      <c r="I126" s="3" t="inlineStr"/>
      <c r="J126" s="4" t="inlineStr">
        <is>
          <t>не в рейтинге</t>
        </is>
      </c>
      <c r="K126" s="4" t="inlineStr">
        <is>
          <t>1201–1400</t>
        </is>
      </c>
      <c r="L126" s="4" t="inlineStr">
        <is>
          <t>нет в опубл. списке (опубликован только топ-15 страны)</t>
        </is>
      </c>
      <c r="M126" s="4" t="inlineStr">
        <is>
          <t>RUF 2025 (Folha)</t>
        </is>
      </c>
      <c r="N126" s="4" t="inlineStr">
        <is>
          <t>31</t>
        </is>
      </c>
      <c r="O126" s="4" t="inlineStr">
        <is>
          <t>https://www.timeshighereducation.com/world-university-rankings/2027/world-ranking
https://ruf.folha.uol.com.br/2025/ranking-de-universidades/principal/</t>
        </is>
      </c>
      <c r="P126" s="4" t="n"/>
    </row>
    <row r="127">
      <c r="A127" s="3" t="inlineStr">
        <is>
          <t>Brazil|Pontifical Catholic University of Rio de Janeiro (PUC-Rio)</t>
        </is>
      </c>
      <c r="B127" s="3" t="inlineStr">
        <is>
          <t>Brazil</t>
        </is>
      </c>
      <c r="C127" s="3" t="inlineStr">
        <is>
          <t>Рио-де-Жанейро</t>
        </is>
      </c>
      <c r="D127" s="3" t="inlineStr">
        <is>
          <t>Pontifical Catholic University of Rio de Janeiro (PUC-Rio)</t>
        </is>
      </c>
      <c r="E127" s="3" t="inlineStr">
        <is>
          <t>Pontifícia Universidade Católica do Rio de Janeiro (PUC-Rio)</t>
        </is>
      </c>
      <c r="F127" s="3" t="inlineStr">
        <is>
          <t>https://www.puc-rio.br</t>
        </is>
      </c>
      <c r="G127" s="3" t="inlineStr">
        <is>
          <t>QS2027: 626</t>
        </is>
      </c>
      <c r="H127" s="3" t="inlineStr">
        <is>
          <t>THE2027: 701–800</t>
        </is>
      </c>
      <c r="I127" s="3" t="inlineStr"/>
      <c r="J127" s="4">
        <f>620</f>
        <v/>
      </c>
      <c r="K127" s="4" t="inlineStr">
        <is>
          <t>701–800</t>
        </is>
      </c>
      <c r="L127" s="4" t="inlineStr">
        <is>
          <t>нет в опубл. списке (опубликован только топ-15 страны)</t>
        </is>
      </c>
      <c r="M127" s="4" t="inlineStr">
        <is>
          <t>RUF 2025 (Folha)</t>
        </is>
      </c>
      <c r="N127" s="4" t="inlineStr">
        <is>
          <t>24</t>
        </is>
      </c>
      <c r="O127" s="4" t="inlineStr">
        <is>
          <t>https://www.topuniversities.com/world-university-rankings (QS WUR 2027)
https://www.timeshighereducation.com/world-university-rankings/2027/world-ranking
https://ruf.folha.uol.com.br/2025/ranking-de-universidades/principal/</t>
        </is>
      </c>
      <c r="P127" s="4" t="inlineStr">
        <is>
          <t>QS: в столбце G было 626, в таблице QS 2027 сейчас =620</t>
        </is>
      </c>
    </row>
    <row r="128">
      <c r="A128" s="3" t="inlineStr">
        <is>
          <t>Brazil|Pontifical Catholic University of São Paulo (PUC-SP)</t>
        </is>
      </c>
      <c r="B128" s="3" t="inlineStr">
        <is>
          <t>Brazil</t>
        </is>
      </c>
      <c r="C128" s="3" t="inlineStr">
        <is>
          <t>Сан-Паулу</t>
        </is>
      </c>
      <c r="D128" s="3" t="inlineStr">
        <is>
          <t>Pontifical Catholic University of São Paulo (PUC-SP)</t>
        </is>
      </c>
      <c r="E128" s="3" t="inlineStr">
        <is>
          <t>Pontifícia Universidade Católica de São Paulo (PUC-SP)</t>
        </is>
      </c>
      <c r="F128" s="3" t="inlineStr">
        <is>
          <t>https://www.pucsp.br</t>
        </is>
      </c>
      <c r="G128" s="3" t="inlineStr">
        <is>
          <t>QS2027: 1001–1200</t>
        </is>
      </c>
      <c r="H128" s="3" t="inlineStr"/>
      <c r="I128" s="3" t="inlineStr"/>
      <c r="J128" s="4" t="inlineStr">
        <is>
          <t>1001–1200</t>
        </is>
      </c>
      <c r="K128" s="4" t="inlineStr">
        <is>
          <t>не в рейтинге</t>
        </is>
      </c>
      <c r="L128" s="4" t="inlineStr">
        <is>
          <t>нет в опубл. списке (опубликован только топ-15 страны)</t>
        </is>
      </c>
      <c r="M128" s="4" t="inlineStr">
        <is>
          <t>RUF 2025 (Folha)</t>
        </is>
      </c>
      <c r="N128" s="4" t="inlineStr">
        <is>
          <t>54</t>
        </is>
      </c>
      <c r="O128" s="4" t="inlineStr">
        <is>
          <t>https://www.topuniversities.com/world-university-rankings (QS WUR 2027)
https://ruf.folha.uol.com.br/2025/ranking-de-universidades/principal/</t>
        </is>
      </c>
      <c r="P128" s="4" t="n"/>
    </row>
    <row r="129">
      <c r="A129" s="3" t="inlineStr">
        <is>
          <t>Brazil|Regional University of Cariri (URCA)</t>
        </is>
      </c>
      <c r="B129" s="3" t="inlineStr">
        <is>
          <t>Brazil</t>
        </is>
      </c>
      <c r="C129" s="3" t="inlineStr">
        <is>
          <t>Крату</t>
        </is>
      </c>
      <c r="D129" s="3" t="inlineStr">
        <is>
          <t>Regional University of Cariri (URCA)</t>
        </is>
      </c>
      <c r="E129" s="3" t="inlineStr">
        <is>
          <t>Universidade Regional do Cariri (URCA)</t>
        </is>
      </c>
      <c r="F129" s="3" t="inlineStr">
        <is>
          <t>https://www.urca.br</t>
        </is>
      </c>
      <c r="G129" s="3" t="inlineStr"/>
      <c r="H129" s="3" t="inlineStr"/>
      <c r="I129" s="3" t="inlineStr"/>
      <c r="J129" s="4" t="inlineStr">
        <is>
          <t>не в рейтинге</t>
        </is>
      </c>
      <c r="K129" s="4" t="inlineStr">
        <is>
          <t>не в рейтинге</t>
        </is>
      </c>
      <c r="L129" s="4" t="inlineStr">
        <is>
          <t>нет в опубл. списке (опубликован только топ-15 страны)</t>
        </is>
      </c>
      <c r="M129" s="4" t="inlineStr">
        <is>
          <t>RUF 2025 (Folha)</t>
        </is>
      </c>
      <c r="N129" s="4" t="inlineStr">
        <is>
          <t>107</t>
        </is>
      </c>
      <c r="O129" s="4" t="inlineStr">
        <is>
          <t>https://ruf.folha.uol.com.br/2025/ranking-de-universidades/principal/</t>
        </is>
      </c>
      <c r="P129" s="4" t="n"/>
    </row>
    <row r="130">
      <c r="A130" s="3" t="inlineStr">
        <is>
          <t>Brazil|Rio de Janeiro State University (UERJ)</t>
        </is>
      </c>
      <c r="B130" s="3" t="inlineStr">
        <is>
          <t>Brazil</t>
        </is>
      </c>
      <c r="C130" s="3" t="inlineStr">
        <is>
          <t>Рио-де-Жанейро</t>
        </is>
      </c>
      <c r="D130" s="3" t="inlineStr">
        <is>
          <t>Rio de Janeiro State University (UERJ)</t>
        </is>
      </c>
      <c r="E130" s="3" t="inlineStr">
        <is>
          <t>Universidade do Estado do Rio de Janeiro (UERJ)</t>
        </is>
      </c>
      <c r="F130" s="3" t="inlineStr">
        <is>
          <t>https://www.uerj.br</t>
        </is>
      </c>
      <c r="G130" s="3" t="inlineStr">
        <is>
          <t>QS2027: 1201–1400</t>
        </is>
      </c>
      <c r="H130" s="3" t="inlineStr">
        <is>
          <t>THE2027: 1801–2000</t>
        </is>
      </c>
      <c r="I130" s="3" t="inlineStr"/>
      <c r="J130" s="4" t="inlineStr">
        <is>
          <t>1201–1400</t>
        </is>
      </c>
      <c r="K130" s="4" t="inlineStr">
        <is>
          <t>1801–2000</t>
        </is>
      </c>
      <c r="L130" s="4" t="inlineStr">
        <is>
          <t>нет в опубл. списке (опубликован только топ-15 страны)</t>
        </is>
      </c>
      <c r="M130" s="4" t="inlineStr">
        <is>
          <t>RUF 2025 (Folha)</t>
        </is>
      </c>
      <c r="N130" s="4" t="inlineStr">
        <is>
          <t>22</t>
        </is>
      </c>
      <c r="O130" s="4" t="inlineStr">
        <is>
          <t>https://www.topuniversities.com/world-university-rankings (QS WUR 2027)
https://www.timeshighereducation.com/world-university-rankings/2027/world-ranking
https://ruf.folha.uol.com.br/2025/ranking-de-universidades/principal/</t>
        </is>
      </c>
      <c r="P130" s="4" t="n"/>
    </row>
    <row r="131">
      <c r="A131" s="3" t="inlineStr">
        <is>
          <t>Brazil|Santa Catarina State University</t>
        </is>
      </c>
      <c r="B131" s="3" t="inlineStr">
        <is>
          <t>Brazil</t>
        </is>
      </c>
      <c r="C131" s="3" t="inlineStr">
        <is>
          <t>Флорианополис</t>
        </is>
      </c>
      <c r="D131" s="3" t="inlineStr">
        <is>
          <t>Santa Catarina State University</t>
        </is>
      </c>
      <c r="E131" s="3" t="inlineStr">
        <is>
          <t>Universidade do Estado de Santa Catarina (UDESC)</t>
        </is>
      </c>
      <c r="F131" s="3" t="inlineStr">
        <is>
          <t>https://www.udesc.br</t>
        </is>
      </c>
      <c r="G131" s="3" t="inlineStr"/>
      <c r="H131" s="3" t="inlineStr">
        <is>
          <t>THE2027: 2001+</t>
        </is>
      </c>
      <c r="I131" s="3" t="inlineStr"/>
      <c r="J131" s="4" t="inlineStr">
        <is>
          <t>не в рейтинге</t>
        </is>
      </c>
      <c r="K131" s="4" t="inlineStr">
        <is>
          <t>2001+</t>
        </is>
      </c>
      <c r="L131" s="4" t="inlineStr">
        <is>
          <t>нет в опубл. списке (опубликован только топ-15 страны)</t>
        </is>
      </c>
      <c r="M131" s="4" t="inlineStr">
        <is>
          <t>RUF 2025 (Folha)</t>
        </is>
      </c>
      <c r="N131" s="4" t="inlineStr">
        <is>
          <t>44</t>
        </is>
      </c>
      <c r="O131" s="4" t="inlineStr">
        <is>
          <t>https://www.timeshighereducation.com/world-university-rankings/2027/world-ranking
https://ruf.folha.uol.com.br/2025/ranking-de-universidades/principal/</t>
        </is>
      </c>
      <c r="P131" s="4" t="n"/>
    </row>
    <row r="132">
      <c r="A132" s="3" t="inlineStr">
        <is>
          <t>Brazil|State University of Feira de Santana</t>
        </is>
      </c>
      <c r="B132" s="3" t="inlineStr">
        <is>
          <t>Brazil</t>
        </is>
      </c>
      <c r="C132" s="3" t="inlineStr">
        <is>
          <t>Фейра-ди-Сантана</t>
        </is>
      </c>
      <c r="D132" s="3" t="inlineStr">
        <is>
          <t>State University of Feira de Santana</t>
        </is>
      </c>
      <c r="E132" s="3" t="inlineStr">
        <is>
          <t>Universidade Estadual de Feira de Santana (UEFS)</t>
        </is>
      </c>
      <c r="F132" s="3" t="inlineStr">
        <is>
          <t>https://www.uefs.br</t>
        </is>
      </c>
      <c r="G132" s="3" t="inlineStr"/>
      <c r="H132" s="3" t="inlineStr">
        <is>
          <t>THE2027: 2001+</t>
        </is>
      </c>
      <c r="I132" s="3" t="inlineStr"/>
      <c r="J132" s="4" t="inlineStr">
        <is>
          <t>не в рейтинге</t>
        </is>
      </c>
      <c r="K132" s="4" t="inlineStr">
        <is>
          <t>2001+</t>
        </is>
      </c>
      <c r="L132" s="4" t="inlineStr">
        <is>
          <t>нет в опубл. списке (опубликован только топ-15 страны)</t>
        </is>
      </c>
      <c r="M132" s="4" t="inlineStr">
        <is>
          <t>RUF 2025 (Folha)</t>
        </is>
      </c>
      <c r="N132" s="4" t="inlineStr">
        <is>
          <t>67</t>
        </is>
      </c>
      <c r="O132" s="4" t="inlineStr">
        <is>
          <t>https://www.timeshighereducation.com/world-university-rankings/2027/world-ranking
https://ruf.folha.uol.com.br/2025/ranking-de-universidades/principal/</t>
        </is>
      </c>
      <c r="P132" s="4" t="n"/>
    </row>
    <row r="133">
      <c r="A133" s="3" t="inlineStr">
        <is>
          <t>Brazil|State University of Goiás</t>
        </is>
      </c>
      <c r="B133" s="3" t="inlineStr">
        <is>
          <t>Brazil</t>
        </is>
      </c>
      <c r="C133" s="3" t="inlineStr">
        <is>
          <t>Анаполис</t>
        </is>
      </c>
      <c r="D133" s="3" t="inlineStr">
        <is>
          <t>State University of Goiás</t>
        </is>
      </c>
      <c r="E133" s="3" t="inlineStr">
        <is>
          <t>Universidade Estadual de Goiás (UEG)</t>
        </is>
      </c>
      <c r="F133" s="3" t="inlineStr">
        <is>
          <t>https://www.ueg.br</t>
        </is>
      </c>
      <c r="G133" s="3" t="inlineStr"/>
      <c r="H133" s="3" t="inlineStr"/>
      <c r="I133" s="3" t="inlineStr"/>
      <c r="J133" s="4" t="inlineStr">
        <is>
          <t>не в рейтинге</t>
        </is>
      </c>
      <c r="K133" s="4" t="inlineStr">
        <is>
          <t>не в рейтинге</t>
        </is>
      </c>
      <c r="L133" s="4" t="inlineStr">
        <is>
          <t>нет в опубл. списке (опубликован только топ-15 страны)</t>
        </is>
      </c>
      <c r="M133" s="4" t="inlineStr">
        <is>
          <t>RUF 2025 (Folha)</t>
        </is>
      </c>
      <c r="N133" s="4" t="inlineStr">
        <is>
          <t>125</t>
        </is>
      </c>
      <c r="O133" s="4" t="inlineStr">
        <is>
          <t>https://ruf.folha.uol.com.br/2025/ranking-de-universidades/principal/</t>
        </is>
      </c>
      <c r="P133" s="4" t="n"/>
    </row>
    <row r="134">
      <c r="A134" s="3" t="inlineStr">
        <is>
          <t>Brazil|State University of Londrina</t>
        </is>
      </c>
      <c r="B134" s="3" t="inlineStr">
        <is>
          <t>Brazil</t>
        </is>
      </c>
      <c r="C134" s="3" t="inlineStr">
        <is>
          <t>Лондрина</t>
        </is>
      </c>
      <c r="D134" s="3" t="inlineStr">
        <is>
          <t>State University of Londrina</t>
        </is>
      </c>
      <c r="E134" s="3" t="inlineStr">
        <is>
          <t>Universidade Estadual de Londrina (UEL)</t>
        </is>
      </c>
      <c r="F134" s="3" t="inlineStr">
        <is>
          <t>https://portal.uel.br</t>
        </is>
      </c>
      <c r="G134" s="3" t="inlineStr"/>
      <c r="H134" s="3" t="inlineStr">
        <is>
          <t>THE2027: 1801–2000</t>
        </is>
      </c>
      <c r="I134" s="3" t="inlineStr"/>
      <c r="J134" s="4" t="inlineStr">
        <is>
          <t>не в рейтинге</t>
        </is>
      </c>
      <c r="K134" s="4" t="inlineStr">
        <is>
          <t>1801–2000</t>
        </is>
      </c>
      <c r="L134" s="4" t="inlineStr">
        <is>
          <t>нет в опубл. списке (опубликован только топ-15 страны)</t>
        </is>
      </c>
      <c r="M134" s="4" t="inlineStr">
        <is>
          <t>RUF 2025 (Folha)</t>
        </is>
      </c>
      <c r="N134" s="4" t="inlineStr">
        <is>
          <t>29</t>
        </is>
      </c>
      <c r="O134" s="4" t="inlineStr">
        <is>
          <t>https://www.timeshighereducation.com/world-university-rankings/2027/world-ranking
https://ruf.folha.uol.com.br/2025/ranking-de-universidades/principal/</t>
        </is>
      </c>
      <c r="P134" s="4" t="inlineStr">
        <is>
          <t>THE: в таблице как «Londrina State University»</t>
        </is>
      </c>
    </row>
    <row r="135">
      <c r="A135" s="3" t="inlineStr">
        <is>
          <t>Brazil|State University of Maranhão (UEMA)</t>
        </is>
      </c>
      <c r="B135" s="3" t="inlineStr">
        <is>
          <t>Brazil</t>
        </is>
      </c>
      <c r="C135" s="3" t="inlineStr">
        <is>
          <t>Сан-Луис</t>
        </is>
      </c>
      <c r="D135" s="3" t="inlineStr">
        <is>
          <t>State University of Maranhão (UEMA)</t>
        </is>
      </c>
      <c r="E135" s="3" t="inlineStr">
        <is>
          <t>Universidade Estadual do Maranhão (UEMA)</t>
        </is>
      </c>
      <c r="F135" s="3" t="inlineStr">
        <is>
          <t>https://www.uema.br</t>
        </is>
      </c>
      <c r="G135" s="3" t="inlineStr"/>
      <c r="H135" s="3" t="inlineStr">
        <is>
          <t>THE2027: 2001+</t>
        </is>
      </c>
      <c r="I135" s="3" t="inlineStr"/>
      <c r="J135" s="4" t="inlineStr">
        <is>
          <t>не в рейтинге</t>
        </is>
      </c>
      <c r="K135" s="4" t="inlineStr">
        <is>
          <t>2001+</t>
        </is>
      </c>
      <c r="L135" s="4" t="inlineStr">
        <is>
          <t>нет в опубл. списке (опубликован только топ-15 страны)</t>
        </is>
      </c>
      <c r="M135" s="4" t="inlineStr">
        <is>
          <t>RUF 2025 (Folha)</t>
        </is>
      </c>
      <c r="N135" s="4" t="inlineStr">
        <is>
          <t>119</t>
        </is>
      </c>
      <c r="O135" s="4" t="inlineStr">
        <is>
          <t>https://www.timeshighereducation.com/world-university-rankings/2027/world-ranking
https://ruf.folha.uol.com.br/2025/ranking-de-universidades/principal/</t>
        </is>
      </c>
      <c r="P135" s="4" t="n"/>
    </row>
    <row r="136">
      <c r="A136" s="3" t="inlineStr">
        <is>
          <t>Brazil|State University of Maringá</t>
        </is>
      </c>
      <c r="B136" s="3" t="inlineStr">
        <is>
          <t>Brazil</t>
        </is>
      </c>
      <c r="C136" s="3" t="inlineStr">
        <is>
          <t>Маринга</t>
        </is>
      </c>
      <c r="D136" s="3" t="inlineStr">
        <is>
          <t>State University of Maringá</t>
        </is>
      </c>
      <c r="E136" s="3" t="inlineStr">
        <is>
          <t>Universidade Estadual de Maringá (UEM)</t>
        </is>
      </c>
      <c r="F136" s="3" t="inlineStr">
        <is>
          <t>https://www.uem.br</t>
        </is>
      </c>
      <c r="G136" s="3" t="inlineStr"/>
      <c r="H136" s="3" t="inlineStr">
        <is>
          <t>THE2027: 1801–2000</t>
        </is>
      </c>
      <c r="I136" s="3" t="inlineStr"/>
      <c r="J136" s="4" t="inlineStr">
        <is>
          <t>не в рейтинге</t>
        </is>
      </c>
      <c r="K136" s="4" t="inlineStr">
        <is>
          <t>1801–2000</t>
        </is>
      </c>
      <c r="L136" s="4" t="inlineStr">
        <is>
          <t>нет в опубл. списке (опубликован только топ-15 страны)</t>
        </is>
      </c>
      <c r="M136" s="4" t="inlineStr">
        <is>
          <t>RUF 2025 (Folha)</t>
        </is>
      </c>
      <c r="N136" s="4" t="inlineStr">
        <is>
          <t>27</t>
        </is>
      </c>
      <c r="O136" s="4" t="inlineStr">
        <is>
          <t>https://www.timeshighereducation.com/world-university-rankings/2027/world-ranking
https://ruf.folha.uol.com.br/2025/ranking-de-universidades/principal/</t>
        </is>
      </c>
      <c r="P136" s="4" t="n"/>
    </row>
    <row r="137">
      <c r="A137" s="3" t="inlineStr">
        <is>
          <t>Brazil|State University of Montes Claros (Unimontes)</t>
        </is>
      </c>
      <c r="B137" s="3" t="inlineStr">
        <is>
          <t>Brazil</t>
        </is>
      </c>
      <c r="C137" s="3" t="inlineStr">
        <is>
          <t>Монтис-Кларус</t>
        </is>
      </c>
      <c r="D137" s="3" t="inlineStr">
        <is>
          <t>State University of Montes Claros (Unimontes)</t>
        </is>
      </c>
      <c r="E137" s="3" t="inlineStr">
        <is>
          <t>Universidade Estadual de Montes Claros (Unimontes)</t>
        </is>
      </c>
      <c r="F137" s="3" t="inlineStr">
        <is>
          <t>https://unimontes.br</t>
        </is>
      </c>
      <c r="G137" s="3" t="inlineStr"/>
      <c r="H137" s="3" t="inlineStr"/>
      <c r="I137" s="3" t="inlineStr"/>
      <c r="J137" s="4" t="inlineStr">
        <is>
          <t>не в рейтинге</t>
        </is>
      </c>
      <c r="K137" s="4" t="inlineStr">
        <is>
          <t>не в рейтинге</t>
        </is>
      </c>
      <c r="L137" s="4" t="inlineStr">
        <is>
          <t>нет в опубл. списке (опубликован только топ-15 страны)</t>
        </is>
      </c>
      <c r="M137" s="4" t="inlineStr">
        <is>
          <t>RUF 2025 (Folha)</t>
        </is>
      </c>
      <c r="N137" s="4" t="inlineStr">
        <is>
          <t>82</t>
        </is>
      </c>
      <c r="O137" s="4" t="inlineStr">
        <is>
          <t>https://ruf.folha.uol.com.br/2025/ranking-de-universidades/principal/</t>
        </is>
      </c>
      <c r="P137" s="4" t="n"/>
    </row>
    <row r="138">
      <c r="A138" s="3" t="inlineStr">
        <is>
          <t>Brazil|State University of Northern Paraná (UENP)</t>
        </is>
      </c>
      <c r="B138" s="3" t="inlineStr">
        <is>
          <t>Brazil</t>
        </is>
      </c>
      <c r="C138" s="3" t="inlineStr">
        <is>
          <t>Жакарезинью</t>
        </is>
      </c>
      <c r="D138" s="3" t="inlineStr">
        <is>
          <t>State University of Northern Paraná (UENP)</t>
        </is>
      </c>
      <c r="E138" s="3" t="inlineStr">
        <is>
          <t>Universidade Estadual do Norte do Paraná (UENP)</t>
        </is>
      </c>
      <c r="F138" s="3" t="inlineStr">
        <is>
          <t>https://uenp.edu.br</t>
        </is>
      </c>
      <c r="G138" s="3" t="inlineStr"/>
      <c r="H138" s="3" t="inlineStr"/>
      <c r="I138" s="3" t="inlineStr"/>
      <c r="J138" s="4" t="inlineStr">
        <is>
          <t>не в рейтинге</t>
        </is>
      </c>
      <c r="K138" s="4" t="inlineStr">
        <is>
          <t>не в рейтинге</t>
        </is>
      </c>
      <c r="L138" s="4" t="inlineStr">
        <is>
          <t>нет в опубл. списке (опубликован только топ-15 страны)</t>
        </is>
      </c>
      <c r="M138" s="4" t="inlineStr">
        <is>
          <t>RUF 2025 (Folha)</t>
        </is>
      </c>
      <c r="N138" s="4" t="inlineStr">
        <is>
          <t>166</t>
        </is>
      </c>
      <c r="O138" s="4" t="inlineStr">
        <is>
          <t>https://ruf.folha.uol.com.br/2025/ranking-de-universidades/principal/</t>
        </is>
      </c>
      <c r="P138" s="4" t="n"/>
    </row>
    <row r="139">
      <c r="A139" s="3" t="inlineStr">
        <is>
          <t>Brazil|State University of Paraná (UNESPAR)</t>
        </is>
      </c>
      <c r="B139" s="3" t="inlineStr">
        <is>
          <t>Brazil</t>
        </is>
      </c>
      <c r="C139" s="3" t="inlineStr">
        <is>
          <t>Паранаваи</t>
        </is>
      </c>
      <c r="D139" s="3" t="inlineStr">
        <is>
          <t>State University of Paraná (UNESPAR)</t>
        </is>
      </c>
      <c r="E139" s="3" t="inlineStr">
        <is>
          <t>Universidade Estadual do Paraná (UNESPAR)</t>
        </is>
      </c>
      <c r="F139" s="3" t="inlineStr">
        <is>
          <t>https://unespar.edu.br</t>
        </is>
      </c>
      <c r="G139" s="3" t="inlineStr"/>
      <c r="H139" s="3" t="inlineStr"/>
      <c r="I139" s="3" t="inlineStr"/>
      <c r="J139" s="4" t="inlineStr">
        <is>
          <t>не в рейтинге</t>
        </is>
      </c>
      <c r="K139" s="4" t="inlineStr">
        <is>
          <t>не в рейтинге</t>
        </is>
      </c>
      <c r="L139" s="4" t="inlineStr">
        <is>
          <t>нет в опубл. списке (опубликован только топ-15 страны)</t>
        </is>
      </c>
      <c r="M139" s="4" t="inlineStr">
        <is>
          <t>RUF 2025 (Folha)</t>
        </is>
      </c>
      <c r="N139" s="4" t="inlineStr">
        <is>
          <t>171</t>
        </is>
      </c>
      <c r="O139" s="4" t="inlineStr">
        <is>
          <t>https://ruf.folha.uol.com.br/2025/ranking-de-universidades/principal/</t>
        </is>
      </c>
      <c r="P139" s="4" t="n"/>
    </row>
    <row r="140">
      <c r="A140" s="3" t="inlineStr">
        <is>
          <t>Brazil|State University of Paraíba (UEPB)</t>
        </is>
      </c>
      <c r="B140" s="3" t="inlineStr">
        <is>
          <t>Brazil</t>
        </is>
      </c>
      <c r="C140" s="3" t="inlineStr">
        <is>
          <t>Кампина-Гранди</t>
        </is>
      </c>
      <c r="D140" s="3" t="inlineStr">
        <is>
          <t>State University of Paraíba (UEPB)</t>
        </is>
      </c>
      <c r="E140" s="3" t="inlineStr">
        <is>
          <t>Universidade Estadual da Paraíba (UEPB)</t>
        </is>
      </c>
      <c r="F140" s="3" t="inlineStr">
        <is>
          <t>https://uepb.edu.br</t>
        </is>
      </c>
      <c r="G140" s="3" t="inlineStr"/>
      <c r="H140" s="3" t="inlineStr"/>
      <c r="I140" s="3" t="inlineStr"/>
      <c r="J140" s="4" t="inlineStr">
        <is>
          <t>не в рейтинге</t>
        </is>
      </c>
      <c r="K140" s="4" t="inlineStr">
        <is>
          <t>не в рейтинге</t>
        </is>
      </c>
      <c r="L140" s="4" t="inlineStr">
        <is>
          <t>нет в опубл. списке (опубликован только топ-15 страны)</t>
        </is>
      </c>
      <c r="M140" s="4" t="inlineStr">
        <is>
          <t>RUF 2025 (Folha)</t>
        </is>
      </c>
      <c r="N140" s="4" t="inlineStr">
        <is>
          <t>90</t>
        </is>
      </c>
      <c r="O140" s="4" t="inlineStr">
        <is>
          <t>https://ruf.folha.uol.com.br/2025/ranking-de-universidades/principal/</t>
        </is>
      </c>
      <c r="P140" s="4" t="n"/>
    </row>
    <row r="141">
      <c r="A141" s="3" t="inlineStr">
        <is>
          <t>Brazil|State University of Ponta Grossa (UEPG)</t>
        </is>
      </c>
      <c r="B141" s="3" t="inlineStr">
        <is>
          <t>Brazil</t>
        </is>
      </c>
      <c r="C141" s="3" t="inlineStr">
        <is>
          <t>Понта-Гроса</t>
        </is>
      </c>
      <c r="D141" s="3" t="inlineStr">
        <is>
          <t>State University of Ponta Grossa (UEPG)</t>
        </is>
      </c>
      <c r="E141" s="3" t="inlineStr">
        <is>
          <t>Universidade Estadual de Ponta Grossa (UEPG)</t>
        </is>
      </c>
      <c r="F141" s="3" t="inlineStr">
        <is>
          <t>https://www.uepg.br</t>
        </is>
      </c>
      <c r="G141" s="3" t="inlineStr"/>
      <c r="H141" s="3" t="inlineStr">
        <is>
          <t>THE2027: 1801–2000</t>
        </is>
      </c>
      <c r="I141" s="3" t="inlineStr"/>
      <c r="J141" s="4" t="inlineStr">
        <is>
          <t>не в рейтинге</t>
        </is>
      </c>
      <c r="K141" s="4" t="inlineStr">
        <is>
          <t>1801–2000</t>
        </is>
      </c>
      <c r="L141" s="4" t="inlineStr">
        <is>
          <t>нет в опубл. списке (опубликован только топ-15 страны)</t>
        </is>
      </c>
      <c r="M141" s="4" t="inlineStr">
        <is>
          <t>RUF 2025 (Folha)</t>
        </is>
      </c>
      <c r="N141" s="4" t="inlineStr">
        <is>
          <t>62</t>
        </is>
      </c>
      <c r="O141" s="4" t="inlineStr">
        <is>
          <t>https://www.timeshighereducation.com/world-university-rankings/2027/world-ranking
https://ruf.folha.uol.com.br/2025/ranking-de-universidades/principal/</t>
        </is>
      </c>
      <c r="P141" s="4" t="n"/>
    </row>
    <row r="142">
      <c r="A142" s="3" t="inlineStr">
        <is>
          <t>Brazil|State University of Rio Grande do Norte</t>
        </is>
      </c>
      <c r="B142" s="3" t="inlineStr">
        <is>
          <t>Brazil</t>
        </is>
      </c>
      <c r="C142" s="3" t="inlineStr">
        <is>
          <t>Моссоро</t>
        </is>
      </c>
      <c r="D142" s="3" t="inlineStr">
        <is>
          <t>State University of Rio Grande do Norte</t>
        </is>
      </c>
      <c r="E142" s="3" t="inlineStr">
        <is>
          <t>Universidade do Estado do Rio Grande do Norte (UERN)</t>
        </is>
      </c>
      <c r="F142" s="3" t="inlineStr">
        <is>
          <t>https://portal.uern.br</t>
        </is>
      </c>
      <c r="G142" s="3" t="inlineStr"/>
      <c r="H142" s="3" t="inlineStr"/>
      <c r="I142" s="3" t="inlineStr"/>
      <c r="J142" s="4" t="inlineStr">
        <is>
          <t>не в рейтинге</t>
        </is>
      </c>
      <c r="K142" s="4" t="inlineStr">
        <is>
          <t>не в рейтинге</t>
        </is>
      </c>
      <c r="L142" s="4" t="inlineStr">
        <is>
          <t>нет в опубл. списке (опубликован только топ-15 страны)</t>
        </is>
      </c>
      <c r="M142" s="4" t="inlineStr">
        <is>
          <t>RUF 2025 (Folha)</t>
        </is>
      </c>
      <c r="N142" s="4" t="inlineStr">
        <is>
          <t>133</t>
        </is>
      </c>
      <c r="O142" s="4" t="inlineStr">
        <is>
          <t>https://ruf.folha.uol.com.br/2025/ranking-de-universidades/principal/</t>
        </is>
      </c>
      <c r="P142" s="4" t="n"/>
    </row>
    <row r="143">
      <c r="A143" s="3" t="inlineStr">
        <is>
          <t>Brazil|State University of Roraima (UERR)</t>
        </is>
      </c>
      <c r="B143" s="3" t="inlineStr">
        <is>
          <t>Brazil</t>
        </is>
      </c>
      <c r="C143" s="3" t="inlineStr">
        <is>
          <t>Боа-Виста</t>
        </is>
      </c>
      <c r="D143" s="3" t="inlineStr">
        <is>
          <t>State University of Roraima (UERR)</t>
        </is>
      </c>
      <c r="E143" s="3" t="inlineStr">
        <is>
          <t>Universidade Estadual de Roraima (UERR)</t>
        </is>
      </c>
      <c r="F143" s="3" t="inlineStr">
        <is>
          <t>https://uerr.edu.br</t>
        </is>
      </c>
      <c r="G143" s="3" t="inlineStr"/>
      <c r="H143" s="3" t="inlineStr"/>
      <c r="I143" s="3" t="inlineStr"/>
      <c r="J143" s="4" t="inlineStr">
        <is>
          <t>не в рейтинге</t>
        </is>
      </c>
      <c r="K143" s="4" t="inlineStr">
        <is>
          <t>не в рейтинге</t>
        </is>
      </c>
      <c r="L143" s="4" t="inlineStr">
        <is>
          <t>нет в опубл. списке (опубликован только топ-15 страны)</t>
        </is>
      </c>
      <c r="M143" s="4" t="inlineStr">
        <is>
          <t>RUF 2025 (Folha)</t>
        </is>
      </c>
      <c r="N143" s="4" t="inlineStr">
        <is>
          <t>202</t>
        </is>
      </c>
      <c r="O143" s="4" t="inlineStr">
        <is>
          <t>https://ruf.folha.uol.com.br/2025/ranking-de-universidades/principal/</t>
        </is>
      </c>
      <c r="P143" s="4" t="n"/>
    </row>
    <row r="144">
      <c r="A144" s="3" t="inlineStr">
        <is>
          <t>Brazil|State University of Santa Cruz (UESC)</t>
        </is>
      </c>
      <c r="B144" s="3" t="inlineStr">
        <is>
          <t>Brazil</t>
        </is>
      </c>
      <c r="C144" s="3" t="inlineStr">
        <is>
          <t>Ильеус</t>
        </is>
      </c>
      <c r="D144" s="3" t="inlineStr">
        <is>
          <t>State University of Santa Cruz (UESC)</t>
        </is>
      </c>
      <c r="E144" s="3" t="inlineStr">
        <is>
          <t>Universidade Estadual de Santa Cruz (UESC)</t>
        </is>
      </c>
      <c r="F144" s="3" t="inlineStr">
        <is>
          <t>https://www.uesc.br</t>
        </is>
      </c>
      <c r="G144" s="3" t="inlineStr"/>
      <c r="H144" s="3" t="inlineStr">
        <is>
          <t>THE2027: 2001+</t>
        </is>
      </c>
      <c r="I144" s="3" t="inlineStr"/>
      <c r="J144" s="4" t="inlineStr">
        <is>
          <t>не в рейтинге</t>
        </is>
      </c>
      <c r="K144" s="4" t="inlineStr">
        <is>
          <t>2001+</t>
        </is>
      </c>
      <c r="L144" s="4" t="inlineStr">
        <is>
          <t>нет в опубл. списке (опубликован только топ-15 страны)</t>
        </is>
      </c>
      <c r="M144" s="4" t="inlineStr">
        <is>
          <t>RUF 2025 (Folha)</t>
        </is>
      </c>
      <c r="N144" s="4" t="inlineStr">
        <is>
          <t>71</t>
        </is>
      </c>
      <c r="O144" s="4" t="inlineStr">
        <is>
          <t>https://www.timeshighereducation.com/world-university-rankings/2027/world-ranking
https://ruf.folha.uol.com.br/2025/ranking-de-universidades/principal/</t>
        </is>
      </c>
      <c r="P144" s="4" t="n"/>
    </row>
    <row r="145">
      <c r="A145" s="3" t="inlineStr">
        <is>
          <t>Brazil|State University of Southwest Bahia (UESB)</t>
        </is>
      </c>
      <c r="B145" s="3" t="inlineStr">
        <is>
          <t>Brazil</t>
        </is>
      </c>
      <c r="C145" s="3" t="inlineStr">
        <is>
          <t>Витория-да-Конкиста</t>
        </is>
      </c>
      <c r="D145" s="3" t="inlineStr">
        <is>
          <t>State University of Southwest Bahia (UESB)</t>
        </is>
      </c>
      <c r="E145" s="3" t="inlineStr">
        <is>
          <t>Universidade Estadual do Sudoeste da Bahia (UESB)</t>
        </is>
      </c>
      <c r="F145" s="3" t="inlineStr">
        <is>
          <t>https://www.uesb.br</t>
        </is>
      </c>
      <c r="G145" s="3" t="inlineStr"/>
      <c r="H145" s="3" t="inlineStr">
        <is>
          <t>THE2027: 2001+</t>
        </is>
      </c>
      <c r="I145" s="3" t="inlineStr"/>
      <c r="J145" s="4" t="inlineStr">
        <is>
          <t>не в рейтинге</t>
        </is>
      </c>
      <c r="K145" s="4" t="inlineStr">
        <is>
          <t>2001+</t>
        </is>
      </c>
      <c r="L145" s="4" t="inlineStr">
        <is>
          <t>нет в опубл. списке (опубликован только топ-15 страны)</t>
        </is>
      </c>
      <c r="M145" s="4" t="inlineStr">
        <is>
          <t>RUF 2025 (Folha)</t>
        </is>
      </c>
      <c r="N145" s="4" t="inlineStr">
        <is>
          <t>87</t>
        </is>
      </c>
      <c r="O145" s="4" t="inlineStr">
        <is>
          <t>https://www.timeshighereducation.com/world-university-rankings/2027/world-ranking
https://ruf.folha.uol.com.br/2025/ranking-de-universidades/principal/</t>
        </is>
      </c>
      <c r="P145" s="4" t="n"/>
    </row>
    <row r="146">
      <c r="A146" s="3" t="inlineStr">
        <is>
          <t>Brazil|State University of Tocantins</t>
        </is>
      </c>
      <c r="B146" s="3" t="inlineStr">
        <is>
          <t>Brazil</t>
        </is>
      </c>
      <c r="C146" s="3" t="inlineStr">
        <is>
          <t>Палмас</t>
        </is>
      </c>
      <c r="D146" s="3" t="inlineStr">
        <is>
          <t>State University of Tocantins</t>
        </is>
      </c>
      <c r="E146" s="3" t="inlineStr">
        <is>
          <t>Universidade Estadual do Tocantins (Unitins)</t>
        </is>
      </c>
      <c r="F146" s="3" t="inlineStr">
        <is>
          <t>https://www.unitins.br</t>
        </is>
      </c>
      <c r="G146" s="3" t="inlineStr"/>
      <c r="H146" s="3" t="inlineStr"/>
      <c r="I146" s="3" t="inlineStr"/>
      <c r="J146" s="4" t="inlineStr">
        <is>
          <t>не в рейтинге</t>
        </is>
      </c>
      <c r="K146" s="4" t="inlineStr">
        <is>
          <t>не в рейтинге</t>
        </is>
      </c>
      <c r="L146" s="4" t="inlineStr">
        <is>
          <t>нет в опубл. списке (опубликован только топ-15 страны)</t>
        </is>
      </c>
      <c r="M146" s="4" t="inlineStr">
        <is>
          <t>RUF 2025 (Folha)</t>
        </is>
      </c>
      <c r="N146" s="4" t="inlineStr">
        <is>
          <t>180</t>
        </is>
      </c>
      <c r="O146" s="4" t="inlineStr">
        <is>
          <t>https://ruf.folha.uol.com.br/2025/ranking-de-universidades/principal/</t>
        </is>
      </c>
      <c r="P146" s="4" t="n"/>
    </row>
    <row r="147">
      <c r="A147" s="3" t="inlineStr">
        <is>
          <t>Brazil|State University of Vale do Acaraú</t>
        </is>
      </c>
      <c r="B147" s="3" t="inlineStr">
        <is>
          <t>Brazil</t>
        </is>
      </c>
      <c r="C147" s="3" t="inlineStr">
        <is>
          <t>Собрал</t>
        </is>
      </c>
      <c r="D147" s="3" t="inlineStr">
        <is>
          <t>State University of Vale do Acaraú</t>
        </is>
      </c>
      <c r="E147" s="3" t="inlineStr">
        <is>
          <t>Universidade Estadual Vale do Acaraú (UVA)</t>
        </is>
      </c>
      <c r="F147" s="3" t="inlineStr">
        <is>
          <t>https://www.uva.ce.gov.br</t>
        </is>
      </c>
      <c r="G147" s="3" t="inlineStr"/>
      <c r="H147" s="3" t="inlineStr"/>
      <c r="I147" s="3" t="inlineStr"/>
      <c r="J147" s="4" t="inlineStr">
        <is>
          <t>не в рейтинге</t>
        </is>
      </c>
      <c r="K147" s="4" t="inlineStr">
        <is>
          <t>не в рейтинге</t>
        </is>
      </c>
      <c r="L147" s="4" t="inlineStr">
        <is>
          <t>нет в опубл. списке (опубликован только топ-15 страны)</t>
        </is>
      </c>
      <c r="M147" s="4" t="inlineStr">
        <is>
          <t>RUF 2025 (Folha)</t>
        </is>
      </c>
      <c r="N147" s="4" t="inlineStr">
        <is>
          <t>151</t>
        </is>
      </c>
      <c r="O147" s="4" t="inlineStr">
        <is>
          <t>https://ruf.folha.uol.com.br/2025/ranking-de-universidades/principal/</t>
        </is>
      </c>
      <c r="P147" s="4" t="n"/>
    </row>
    <row r="148">
      <c r="A148" s="3" t="inlineStr">
        <is>
          <t>Brazil|São Paulo State University (Unesp)</t>
        </is>
      </c>
      <c r="B148" s="3" t="inlineStr">
        <is>
          <t>Brazil</t>
        </is>
      </c>
      <c r="C148" s="3" t="inlineStr">
        <is>
          <t>Сан-Паулу</t>
        </is>
      </c>
      <c r="D148" s="3" t="inlineStr">
        <is>
          <t>São Paulo State University (Unesp)</t>
        </is>
      </c>
      <c r="E148" s="3" t="inlineStr">
        <is>
          <t>Universidade Estadual Paulista "Júlio de Mesquita Filho" (Unesp)</t>
        </is>
      </c>
      <c r="F148" s="3" t="inlineStr">
        <is>
          <t>https://www2.unesp.br</t>
        </is>
      </c>
      <c r="G148" s="3" t="inlineStr"/>
      <c r="H148" s="3" t="inlineStr">
        <is>
          <t>THE2027: 651–700</t>
        </is>
      </c>
      <c r="I148" s="3" t="inlineStr"/>
      <c r="J148" s="4" t="inlineStr">
        <is>
          <t>не в рейтинге</t>
        </is>
      </c>
      <c r="K148" s="4" t="inlineStr">
        <is>
          <t>651–700</t>
        </is>
      </c>
      <c r="L148" s="4" t="inlineStr">
        <is>
          <t>399</t>
        </is>
      </c>
      <c r="M148" s="4" t="inlineStr">
        <is>
          <t>RUF 2025 (Folha)</t>
        </is>
      </c>
      <c r="N148" s="4" t="inlineStr">
        <is>
          <t>6</t>
        </is>
      </c>
      <c r="O148" s="4" t="inlineStr">
        <is>
          <t>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148" s="4" t="inlineStr">
        <is>
          <t>THE: в таблице как «Universidade Estadual Paulista (Unesp)»; Webometrics: сопоставлено по домену unesp.br</t>
        </is>
      </c>
    </row>
    <row r="149">
      <c r="A149" s="3" t="inlineStr">
        <is>
          <t>Brazil|University for International Integration of the Afro-Brazilian Lusophony</t>
        </is>
      </c>
      <c r="B149" s="3" t="inlineStr">
        <is>
          <t>Brazil</t>
        </is>
      </c>
      <c r="C149" s="3" t="inlineStr">
        <is>
          <t>Реденсан</t>
        </is>
      </c>
      <c r="D149" s="3" t="inlineStr">
        <is>
          <t>University for International Integration of the Afro-Brazilian Lusophony</t>
        </is>
      </c>
      <c r="E149" s="3" t="inlineStr">
        <is>
          <t>Universidade da Integração Internacional da Lusofonia Afro-Brasileira (UNILAB)</t>
        </is>
      </c>
      <c r="F149" s="3" t="inlineStr">
        <is>
          <t>https://unilab.edu.br</t>
        </is>
      </c>
      <c r="G149" s="3" t="inlineStr"/>
      <c r="H149" s="3" t="inlineStr"/>
      <c r="I149" s="3" t="inlineStr"/>
      <c r="J149" s="4" t="inlineStr">
        <is>
          <t>не в рейтинге</t>
        </is>
      </c>
      <c r="K149" s="4" t="inlineStr">
        <is>
          <t>не в рейтинге</t>
        </is>
      </c>
      <c r="L149" s="4" t="inlineStr">
        <is>
          <t>нет в опубл. списке (опубликован только топ-15 страны)</t>
        </is>
      </c>
      <c r="M149" s="4" t="inlineStr">
        <is>
          <t>RUF 2025 (Folha)</t>
        </is>
      </c>
      <c r="N149" s="4" t="inlineStr">
        <is>
          <t>127</t>
        </is>
      </c>
      <c r="O149" s="4" t="inlineStr">
        <is>
          <t>https://ruf.folha.uol.com.br/2025/ranking-de-universidades/principal/</t>
        </is>
      </c>
      <c r="P149" s="4" t="n"/>
    </row>
    <row r="150">
      <c r="A150" s="3" t="inlineStr">
        <is>
          <t>Brazil|University of Brasília (UnB)</t>
        </is>
      </c>
      <c r="B150" s="3" t="inlineStr">
        <is>
          <t>Brazil</t>
        </is>
      </c>
      <c r="C150" s="3" t="inlineStr">
        <is>
          <t>Бразилиа</t>
        </is>
      </c>
      <c r="D150" s="3" t="inlineStr">
        <is>
          <t>University of Brasília (UnB)</t>
        </is>
      </c>
      <c r="E150" s="3" t="inlineStr">
        <is>
          <t>Universidade de Brasília (UnB)</t>
        </is>
      </c>
      <c r="F150" s="3" t="inlineStr">
        <is>
          <t>https://www.unb.br</t>
        </is>
      </c>
      <c r="G150" s="3" t="inlineStr">
        <is>
          <t>QS2027: 851–900</t>
        </is>
      </c>
      <c r="H150" s="3" t="inlineStr">
        <is>
          <t>THE2027: 1401–1600</t>
        </is>
      </c>
      <c r="I150" s="3" t="inlineStr"/>
      <c r="J150" s="4" t="inlineStr">
        <is>
          <t>851–900</t>
        </is>
      </c>
      <c r="K150" s="4" t="inlineStr">
        <is>
          <t>1401–1600</t>
        </is>
      </c>
      <c r="L150" s="4" t="inlineStr">
        <is>
          <t>579</t>
        </is>
      </c>
      <c r="M150" s="4" t="inlineStr">
        <is>
          <t>RUF 2025 (Folha)</t>
        </is>
      </c>
      <c r="N150" s="4" t="inlineStr">
        <is>
          <t>8</t>
        </is>
      </c>
      <c r="O15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150" s="4" t="n"/>
    </row>
    <row r="151">
      <c r="A151" s="3" t="inlineStr">
        <is>
          <t>Brazil|University of Campinas (Unicamp)</t>
        </is>
      </c>
      <c r="B151" s="3" t="inlineStr">
        <is>
          <t>Brazil</t>
        </is>
      </c>
      <c r="C151" s="3" t="inlineStr">
        <is>
          <t>Кампинас</t>
        </is>
      </c>
      <c r="D151" s="3" t="inlineStr">
        <is>
          <t>University of Campinas (Unicamp)</t>
        </is>
      </c>
      <c r="E151" s="3" t="inlineStr">
        <is>
          <t>Universidade Estadual de Campinas (Unicamp)</t>
        </is>
      </c>
      <c r="F151" s="3" t="inlineStr">
        <is>
          <t>https://www.unicamp.br</t>
        </is>
      </c>
      <c r="G151" s="3" t="inlineStr">
        <is>
          <t>QS2027: 277</t>
        </is>
      </c>
      <c r="H151" s="3" t="inlineStr">
        <is>
          <t>THE2027: 326–350</t>
        </is>
      </c>
      <c r="I151" s="3" t="inlineStr"/>
      <c r="J151" s="4">
        <f>277</f>
        <v/>
      </c>
      <c r="K151" s="4" t="inlineStr">
        <is>
          <t>326–350</t>
        </is>
      </c>
      <c r="L151" s="4" t="inlineStr">
        <is>
          <t>290</t>
        </is>
      </c>
      <c r="M151" s="4" t="inlineStr">
        <is>
          <t>RUF 2025 (Folha)</t>
        </is>
      </c>
      <c r="N151" s="4" t="inlineStr">
        <is>
          <t>2</t>
        </is>
      </c>
      <c r="O15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151" s="4" t="n"/>
    </row>
    <row r="152">
      <c r="A152" s="3" t="inlineStr">
        <is>
          <t>Brazil|University of Caxias do Sul</t>
        </is>
      </c>
      <c r="B152" s="3" t="inlineStr">
        <is>
          <t>Brazil</t>
        </is>
      </c>
      <c r="C152" s="3" t="inlineStr">
        <is>
          <t>Кашиас-ду-Сул</t>
        </is>
      </c>
      <c r="D152" s="3" t="inlineStr">
        <is>
          <t>University of Caxias do Sul</t>
        </is>
      </c>
      <c r="E152" s="3" t="inlineStr">
        <is>
          <t>Universidade de Caxias do Sul (UCS)</t>
        </is>
      </c>
      <c r="F152" s="3" t="inlineStr">
        <is>
          <t>https://www.ucs.br</t>
        </is>
      </c>
      <c r="G152" s="3" t="inlineStr"/>
      <c r="H152" s="3" t="inlineStr">
        <is>
          <t>THE2027: 2001+</t>
        </is>
      </c>
      <c r="I152" s="3" t="inlineStr"/>
      <c r="J152" s="4" t="inlineStr">
        <is>
          <t>не в рейтинге</t>
        </is>
      </c>
      <c r="K152" s="4" t="inlineStr">
        <is>
          <t>2001+</t>
        </is>
      </c>
      <c r="L152" s="4" t="inlineStr">
        <is>
          <t>нет в опубл. списке (опубликован только топ-15 страны)</t>
        </is>
      </c>
      <c r="M152" s="4" t="inlineStr">
        <is>
          <t>RUF 2025 (Folha)</t>
        </is>
      </c>
      <c r="N152" s="4" t="inlineStr">
        <is>
          <t>65</t>
        </is>
      </c>
      <c r="O152" s="4" t="inlineStr">
        <is>
          <t>https://www.timeshighereducation.com/world-university-rankings/2027/world-ranking
https://ruf.folha.uol.com.br/2025/ranking-de-universidades/principal/</t>
        </is>
      </c>
      <c r="P152" s="4" t="n"/>
    </row>
    <row r="153">
      <c r="A153" s="3" t="inlineStr">
        <is>
          <t>Brazil|University of Fortaleza (UNIFOR)</t>
        </is>
      </c>
      <c r="B153" s="3" t="inlineStr">
        <is>
          <t>Brazil</t>
        </is>
      </c>
      <c r="C153" s="3" t="inlineStr">
        <is>
          <t>Форталеза</t>
        </is>
      </c>
      <c r="D153" s="3" t="inlineStr">
        <is>
          <t>University of Fortaleza (UNIFOR)</t>
        </is>
      </c>
      <c r="E153" s="3" t="inlineStr">
        <is>
          <t>Universidade de Fortaleza (Unifor)</t>
        </is>
      </c>
      <c r="F153" s="3" t="inlineStr">
        <is>
          <t>https://unifor.br</t>
        </is>
      </c>
      <c r="G153" s="3" t="inlineStr"/>
      <c r="H153" s="3" t="inlineStr">
        <is>
          <t>THE2027: 2001+</t>
        </is>
      </c>
      <c r="I153" s="3" t="inlineStr"/>
      <c r="J153" s="4" t="inlineStr">
        <is>
          <t>не в рейтинге</t>
        </is>
      </c>
      <c r="K153" s="4" t="inlineStr">
        <is>
          <t>2001+</t>
        </is>
      </c>
      <c r="L153" s="4" t="inlineStr">
        <is>
          <t>нет в опубл. списке (опубликован только топ-15 страны)</t>
        </is>
      </c>
      <c r="M153" s="4" t="inlineStr">
        <is>
          <t>RUF 2025 (Folha)</t>
        </is>
      </c>
      <c r="N153" s="4" t="inlineStr">
        <is>
          <t>58</t>
        </is>
      </c>
      <c r="O153" s="4" t="inlineStr">
        <is>
          <t>https://www.timeshighereducation.com/world-university-rankings/2027/world-ranking
https://ruf.folha.uol.com.br/2025/ranking-de-universidades/principal/</t>
        </is>
      </c>
      <c r="P153" s="4" t="n"/>
    </row>
    <row r="154">
      <c r="A154" s="3" t="inlineStr">
        <is>
          <t>Brazil|University of Passo Fundo</t>
        </is>
      </c>
      <c r="B154" s="3" t="inlineStr">
        <is>
          <t>Brazil</t>
        </is>
      </c>
      <c r="C154" s="3" t="inlineStr">
        <is>
          <t>Пасу-Фунду</t>
        </is>
      </c>
      <c r="D154" s="3" t="inlineStr">
        <is>
          <t>University of Passo Fundo</t>
        </is>
      </c>
      <c r="E154" s="3" t="inlineStr">
        <is>
          <t>Universidade de Passo Fundo (UPF)</t>
        </is>
      </c>
      <c r="F154" s="3" t="inlineStr">
        <is>
          <t>https://www.upf.br</t>
        </is>
      </c>
      <c r="G154" s="3" t="inlineStr"/>
      <c r="H154" s="3" t="inlineStr">
        <is>
          <t>THE2027: 1801–2000</t>
        </is>
      </c>
      <c r="I154" s="3" t="inlineStr"/>
      <c r="J154" s="4" t="inlineStr">
        <is>
          <t>не в рейтинге</t>
        </is>
      </c>
      <c r="K154" s="4" t="inlineStr">
        <is>
          <t>1801–2000</t>
        </is>
      </c>
      <c r="L154" s="4" t="inlineStr">
        <is>
          <t>нет в опубл. списке (опубликован только топ-15 страны)</t>
        </is>
      </c>
      <c r="M154" s="4" t="inlineStr">
        <is>
          <t>RUF 2025 (Folha)</t>
        </is>
      </c>
      <c r="N154" s="4" t="inlineStr">
        <is>
          <t>52</t>
        </is>
      </c>
      <c r="O154" s="4" t="inlineStr">
        <is>
          <t>https://www.timeshighereducation.com/world-university-rankings/2027/world-ranking
https://ruf.folha.uol.com.br/2025/ranking-de-universidades/principal/</t>
        </is>
      </c>
      <c r="P154" s="4" t="n"/>
    </row>
    <row r="155">
      <c r="A155" s="3" t="inlineStr">
        <is>
          <t>Brazil|University of Pernambuco</t>
        </is>
      </c>
      <c r="B155" s="3" t="inlineStr">
        <is>
          <t>Brazil</t>
        </is>
      </c>
      <c r="C155" s="3" t="inlineStr">
        <is>
          <t>Ресифи</t>
        </is>
      </c>
      <c r="D155" s="3" t="inlineStr">
        <is>
          <t>University of Pernambuco</t>
        </is>
      </c>
      <c r="E155" s="3" t="inlineStr">
        <is>
          <t>Universidade de Pernambuco (UPE)</t>
        </is>
      </c>
      <c r="F155" s="3" t="inlineStr">
        <is>
          <t>https://www.upe.br</t>
        </is>
      </c>
      <c r="G155" s="3" t="inlineStr"/>
      <c r="H155" s="3" t="inlineStr">
        <is>
          <t>THE2027: 2001+</t>
        </is>
      </c>
      <c r="I155" s="3" t="inlineStr"/>
      <c r="J155" s="4" t="inlineStr">
        <is>
          <t>не в рейтинге</t>
        </is>
      </c>
      <c r="K155" s="4" t="inlineStr">
        <is>
          <t>2001+</t>
        </is>
      </c>
      <c r="L155" s="4" t="inlineStr">
        <is>
          <t>нет в опубл. списке (опубликован только топ-15 страны)</t>
        </is>
      </c>
      <c r="M155" s="4" t="inlineStr">
        <is>
          <t>RUF 2025 (Folha)</t>
        </is>
      </c>
      <c r="N155" s="4" t="inlineStr">
        <is>
          <t>64</t>
        </is>
      </c>
      <c r="O155" s="4" t="inlineStr">
        <is>
          <t>https://www.timeshighereducation.com/world-university-rankings/2027/world-ranking
https://ruf.folha.uol.com.br/2025/ranking-de-universidades/principal/</t>
        </is>
      </c>
      <c r="P155" s="4" t="n"/>
    </row>
    <row r="156">
      <c r="A156" s="3" t="inlineStr">
        <is>
          <t>Brazil|University of Southern Santa Catarina (UNISUL)</t>
        </is>
      </c>
      <c r="B156" s="3" t="inlineStr">
        <is>
          <t>Brazil</t>
        </is>
      </c>
      <c r="C156" s="3" t="inlineStr">
        <is>
          <t>Тубаран</t>
        </is>
      </c>
      <c r="D156" s="3" t="inlineStr">
        <is>
          <t>University of Southern Santa Catarina (UNISUL)</t>
        </is>
      </c>
      <c r="E156" s="3" t="inlineStr">
        <is>
          <t>Universidade do Sul de Santa Catarina (UNISUL)</t>
        </is>
      </c>
      <c r="F156" s="3" t="inlineStr">
        <is>
          <t>https://www.unisul.br</t>
        </is>
      </c>
      <c r="G156" s="3" t="inlineStr"/>
      <c r="H156" s="3" t="inlineStr"/>
      <c r="I156" s="3" t="inlineStr"/>
      <c r="J156" s="4" t="inlineStr">
        <is>
          <t>не в рейтинге</t>
        </is>
      </c>
      <c r="K156" s="4" t="inlineStr">
        <is>
          <t>не в рейтинге</t>
        </is>
      </c>
      <c r="L156" s="4" t="inlineStr">
        <is>
          <t>нет в опубл. списке (опубликован только топ-15 страны)</t>
        </is>
      </c>
      <c r="M156" s="4" t="inlineStr">
        <is>
          <t>RUF 2025 (Folha)</t>
        </is>
      </c>
      <c r="N156" s="4" t="inlineStr">
        <is>
          <t>78</t>
        </is>
      </c>
      <c r="O156" s="4" t="inlineStr">
        <is>
          <t>https://ruf.folha.uol.com.br/2025/ranking-de-universidades/principal/</t>
        </is>
      </c>
      <c r="P156" s="4" t="n"/>
    </row>
    <row r="157">
      <c r="A157" s="3" t="inlineStr">
        <is>
          <t>Brazil|University of São Paulo (USP)</t>
        </is>
      </c>
      <c r="B157" s="3" t="inlineStr">
        <is>
          <t>Brazil</t>
        </is>
      </c>
      <c r="C157" s="3" t="inlineStr">
        <is>
          <t>Сан-Паулу</t>
        </is>
      </c>
      <c r="D157" s="3" t="inlineStr">
        <is>
          <t>University of São Paulo (USP)</t>
        </is>
      </c>
      <c r="E157" s="3" t="inlineStr">
        <is>
          <t>Universidade de São Paulo (USP)</t>
        </is>
      </c>
      <c r="F157" s="3" t="inlineStr">
        <is>
          <t>https://www5.usp.br</t>
        </is>
      </c>
      <c r="G157" s="3" t="inlineStr">
        <is>
          <t>QS2027: 133</t>
        </is>
      </c>
      <c r="H157" s="3" t="inlineStr">
        <is>
          <t>THE2027: =141</t>
        </is>
      </c>
      <c r="I157" s="3" t="inlineStr"/>
      <c r="J157" s="4" t="inlineStr">
        <is>
          <t>133</t>
        </is>
      </c>
      <c r="K157" s="4">
        <f>141</f>
        <v/>
      </c>
      <c r="L157" s="4" t="inlineStr">
        <is>
          <t>70</t>
        </is>
      </c>
      <c r="M157" s="4" t="inlineStr">
        <is>
          <t>RUF 2025 (Folha)</t>
        </is>
      </c>
      <c r="N157" s="4" t="inlineStr">
        <is>
          <t>1</t>
        </is>
      </c>
      <c r="O15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P157" s="4" t="n"/>
    </row>
    <row r="158">
      <c r="A158" s="3" t="inlineStr">
        <is>
          <t>Brazil|University of Vale do Paraíba</t>
        </is>
      </c>
      <c r="B158" s="3" t="inlineStr">
        <is>
          <t>Brazil</t>
        </is>
      </c>
      <c r="C158" s="3" t="inlineStr">
        <is>
          <t>Сан-Жозе-дус-Кампус</t>
        </is>
      </c>
      <c r="D158" s="3" t="inlineStr">
        <is>
          <t>University of Vale do Paraíba</t>
        </is>
      </c>
      <c r="E158" s="3" t="inlineStr">
        <is>
          <t>Universidade do Vale do Paraíba (UNIVAP)</t>
        </is>
      </c>
      <c r="F158" s="3" t="inlineStr">
        <is>
          <t>https://www.univap.br</t>
        </is>
      </c>
      <c r="G158" s="3" t="inlineStr"/>
      <c r="H158" s="3" t="inlineStr"/>
      <c r="I158" s="3" t="inlineStr"/>
      <c r="J158" s="4" t="inlineStr">
        <is>
          <t>не в рейтинге</t>
        </is>
      </c>
      <c r="K158" s="4" t="inlineStr">
        <is>
          <t>не в рейтинге</t>
        </is>
      </c>
      <c r="L158" s="4" t="inlineStr">
        <is>
          <t>нет в опубл. списке (опубликован только топ-15 страны)</t>
        </is>
      </c>
      <c r="M158" s="4" t="inlineStr">
        <is>
          <t>RUF 2025 (Folha)</t>
        </is>
      </c>
      <c r="N158" s="4" t="inlineStr">
        <is>
          <t>141</t>
        </is>
      </c>
      <c r="O158" s="4" t="inlineStr">
        <is>
          <t>https://ruf.folha.uol.com.br/2025/ranking-de-universidades/principal/</t>
        </is>
      </c>
      <c r="P158" s="4" t="n"/>
    </row>
    <row r="159">
      <c r="A159" s="3" t="inlineStr">
        <is>
          <t>Brazil|University of Vale do Rio dos Sinos (Unisinos)</t>
        </is>
      </c>
      <c r="B159" s="3" t="inlineStr">
        <is>
          <t>Brazil</t>
        </is>
      </c>
      <c r="C159" s="3" t="inlineStr">
        <is>
          <t>Сан-Леополду</t>
        </is>
      </c>
      <c r="D159" s="3" t="inlineStr">
        <is>
          <t>University of Vale do Rio dos Sinos (Unisinos)</t>
        </is>
      </c>
      <c r="E159" s="3" t="inlineStr">
        <is>
          <t>Universidade do Vale do Rio dos Sinos (Unisinos)</t>
        </is>
      </c>
      <c r="F159" s="3" t="inlineStr">
        <is>
          <t>https://www.unisinos.br</t>
        </is>
      </c>
      <c r="G159" s="3" t="inlineStr"/>
      <c r="H159" s="3" t="inlineStr">
        <is>
          <t>THE2027: 1601–1800</t>
        </is>
      </c>
      <c r="I159" s="3" t="inlineStr"/>
      <c r="J159" s="4" t="inlineStr">
        <is>
          <t>не в рейтинге</t>
        </is>
      </c>
      <c r="K159" s="4" t="inlineStr">
        <is>
          <t>1601–1800</t>
        </is>
      </c>
      <c r="L159" s="4" t="inlineStr">
        <is>
          <t>нет в опубл. списке (опубликован только топ-15 страны)</t>
        </is>
      </c>
      <c r="M159" s="4" t="inlineStr">
        <is>
          <t>RUF 2025 (Folha)</t>
        </is>
      </c>
      <c r="N159" s="4" t="inlineStr">
        <is>
          <t>33</t>
        </is>
      </c>
      <c r="O159" s="4" t="inlineStr">
        <is>
          <t>https://www.timeshighereducation.com/world-university-rankings/2027/world-ranking
https://ruf.folha.uol.com.br/2025/ranking-de-universidades/principal/</t>
        </is>
      </c>
      <c r="P159" s="4" t="inlineStr">
        <is>
          <t>THE: в таблице как «Unisinos University»</t>
        </is>
      </c>
    </row>
    <row r="160">
      <c r="A160" s="3" t="inlineStr">
        <is>
          <t>Brazil|Western Paraná State University (Unioeste)</t>
        </is>
      </c>
      <c r="B160" s="3" t="inlineStr">
        <is>
          <t>Brazil</t>
        </is>
      </c>
      <c r="C160" s="3" t="inlineStr">
        <is>
          <t>Кашкавел</t>
        </is>
      </c>
      <c r="D160" s="3" t="inlineStr">
        <is>
          <t>Western Paraná State University (Unioeste)</t>
        </is>
      </c>
      <c r="E160" s="3" t="inlineStr">
        <is>
          <t>Universidade Estadual do Oeste do Paraná (Unioeste)</t>
        </is>
      </c>
      <c r="F160" s="3" t="inlineStr">
        <is>
          <t>https://www.unioeste.br</t>
        </is>
      </c>
      <c r="G160" s="3" t="inlineStr"/>
      <c r="H160" s="3" t="inlineStr">
        <is>
          <t>THE2027: 2001+</t>
        </is>
      </c>
      <c r="I160" s="3" t="inlineStr"/>
      <c r="J160" s="4" t="inlineStr">
        <is>
          <t>не в рейтинге</t>
        </is>
      </c>
      <c r="K160" s="4" t="inlineStr">
        <is>
          <t>2001+</t>
        </is>
      </c>
      <c r="L160" s="4" t="inlineStr">
        <is>
          <t>нет в опубл. списке (опубликован только топ-15 страны)</t>
        </is>
      </c>
      <c r="M160" s="4" t="inlineStr">
        <is>
          <t>RUF 2025 (Folha)</t>
        </is>
      </c>
      <c r="N160" s="4" t="inlineStr">
        <is>
          <t>46</t>
        </is>
      </c>
      <c r="O160" s="4" t="inlineStr">
        <is>
          <t>https://www.timeshighereducation.com/world-university-rankings/2027/world-ranking
https://ruf.folha.uol.com.br/2025/ranking-de-universidades/principal/</t>
        </is>
      </c>
      <c r="P160" s="4" t="n"/>
    </row>
    <row r="161">
      <c r="A161" s="3" t="inlineStr">
        <is>
          <t>China|Anhui Agricultural University</t>
        </is>
      </c>
      <c r="B161" s="3" t="inlineStr">
        <is>
          <t>China</t>
        </is>
      </c>
      <c r="C161" s="3" t="inlineStr">
        <is>
          <t>Хэфэй</t>
        </is>
      </c>
      <c r="D161" s="3" t="inlineStr">
        <is>
          <t>Anhui Agricultural University</t>
        </is>
      </c>
      <c r="E161" s="3" t="inlineStr">
        <is>
          <t>安徽农业大学</t>
        </is>
      </c>
      <c r="F161" s="3" t="inlineStr">
        <is>
          <t>https://www.ahau.edu.cn</t>
        </is>
      </c>
      <c r="G161" s="3" t="inlineStr"/>
      <c r="H161" s="3" t="inlineStr"/>
      <c r="I161" s="3" t="inlineStr">
        <is>
          <t>BCUR2026: 143</t>
        </is>
      </c>
      <c r="J161" s="4" t="inlineStr">
        <is>
          <t>не в рейтинге</t>
        </is>
      </c>
      <c r="K161" s="4" t="inlineStr">
        <is>
          <t>не в рейтинге</t>
        </is>
      </c>
      <c r="L161" s="4" t="inlineStr">
        <is>
          <t>нет в опубл. списке (опубликован только топ-15 страны)</t>
        </is>
      </c>
      <c r="M161" s="4" t="inlineStr">
        <is>
          <t>BCUR (ShanghaiRanking) 2026</t>
        </is>
      </c>
      <c r="N161" s="4" t="inlineStr">
        <is>
          <t>143</t>
        </is>
      </c>
      <c r="O161" s="4" t="inlineStr">
        <is>
          <t>https://www.shanghairanking.cn/rankings/bcur/2026</t>
        </is>
      </c>
      <c r="P161" s="4" t="n"/>
    </row>
    <row r="162">
      <c r="A162" s="3" t="inlineStr">
        <is>
          <t>China|Anhui Normal University</t>
        </is>
      </c>
      <c r="B162" s="3" t="inlineStr">
        <is>
          <t>China</t>
        </is>
      </c>
      <c r="C162" s="3" t="inlineStr">
        <is>
          <t>Уху (пров. Аньхой)</t>
        </is>
      </c>
      <c r="D162" s="3" t="inlineStr">
        <is>
          <t>Anhui Normal University</t>
        </is>
      </c>
      <c r="E162" s="3" t="inlineStr">
        <is>
          <t>安徽师范大学</t>
        </is>
      </c>
      <c r="F162" s="3" t="inlineStr">
        <is>
          <t>https://www.ahnu.edu.cn</t>
        </is>
      </c>
      <c r="G162" s="3" t="inlineStr"/>
      <c r="H162" s="3" t="inlineStr"/>
      <c r="I162" s="3" t="inlineStr">
        <is>
          <t>BCUR2026: 145</t>
        </is>
      </c>
      <c r="J162" s="4" t="inlineStr">
        <is>
          <t>не в рейтинге</t>
        </is>
      </c>
      <c r="K162" s="4" t="inlineStr">
        <is>
          <t>не в рейтинге</t>
        </is>
      </c>
      <c r="L162" s="4" t="inlineStr">
        <is>
          <t>нет в опубл. списке (опубликован только топ-15 страны)</t>
        </is>
      </c>
      <c r="M162" s="4" t="inlineStr">
        <is>
          <t>BCUR (ShanghaiRanking) 2026</t>
        </is>
      </c>
      <c r="N162" s="4" t="inlineStr">
        <is>
          <t>145</t>
        </is>
      </c>
      <c r="O162" s="4" t="inlineStr">
        <is>
          <t>https://www.shanghairanking.cn/rankings/bcur/2026</t>
        </is>
      </c>
      <c r="P162" s="4" t="n"/>
    </row>
    <row r="163">
      <c r="A163" s="3" t="inlineStr">
        <is>
          <t>China|Anhui University</t>
        </is>
      </c>
      <c r="B163" s="3" t="inlineStr">
        <is>
          <t>China</t>
        </is>
      </c>
      <c r="C163" s="3" t="inlineStr">
        <is>
          <t>Хэфэй</t>
        </is>
      </c>
      <c r="D163" s="3" t="inlineStr">
        <is>
          <t>Anhui University</t>
        </is>
      </c>
      <c r="E163" s="3" t="inlineStr">
        <is>
          <t>安徽大学</t>
        </is>
      </c>
      <c r="F163" s="3" t="inlineStr">
        <is>
          <t>https://www.ahu.edu.cn</t>
        </is>
      </c>
      <c r="G163" s="3" t="inlineStr">
        <is>
          <t>QS2027: 1201-1400</t>
        </is>
      </c>
      <c r="H163" s="3" t="inlineStr">
        <is>
          <t>THE2027: 1001–1200</t>
        </is>
      </c>
      <c r="I163" s="3" t="inlineStr">
        <is>
          <t>BCUR2026: 101</t>
        </is>
      </c>
      <c r="J163" s="4" t="inlineStr">
        <is>
          <t>1201–1400</t>
        </is>
      </c>
      <c r="K163" s="4" t="inlineStr">
        <is>
          <t>1001–1200</t>
        </is>
      </c>
      <c r="L163" s="4" t="inlineStr">
        <is>
          <t>нет в опубл. списке (опубликован только топ-15 страны)</t>
        </is>
      </c>
      <c r="M163" s="4" t="inlineStr">
        <is>
          <t>BCUR (ShanghaiRanking) 2026</t>
        </is>
      </c>
      <c r="N163" s="4" t="inlineStr">
        <is>
          <t>101</t>
        </is>
      </c>
      <c r="O163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63" s="4" t="n"/>
    </row>
    <row r="164">
      <c r="A164" s="3" t="inlineStr">
        <is>
          <t>China|Anhui University of Science &amp; Technology</t>
        </is>
      </c>
      <c r="B164" s="3" t="inlineStr">
        <is>
          <t>China</t>
        </is>
      </c>
      <c r="C164" s="3" t="inlineStr">
        <is>
          <t>Хуайнань (пров. Аньхой)</t>
        </is>
      </c>
      <c r="D164" s="3" t="inlineStr">
        <is>
          <t>Anhui University of Science &amp; Technology</t>
        </is>
      </c>
      <c r="E164" s="3" t="inlineStr">
        <is>
          <t>安徽理工大学</t>
        </is>
      </c>
      <c r="F164" s="3" t="inlineStr">
        <is>
          <t>https://www.aust.edu.cn</t>
        </is>
      </c>
      <c r="G164" s="3" t="inlineStr"/>
      <c r="H164" s="3" t="inlineStr"/>
      <c r="I164" s="3" t="inlineStr">
        <is>
          <t>BCUR2026: 180</t>
        </is>
      </c>
      <c r="J164" s="4" t="inlineStr">
        <is>
          <t>не в рейтинге</t>
        </is>
      </c>
      <c r="K164" s="4" t="inlineStr">
        <is>
          <t>не в рейтинге</t>
        </is>
      </c>
      <c r="L164" s="4" t="inlineStr">
        <is>
          <t>нет в опубл. списке (опубликован только топ-15 страны)</t>
        </is>
      </c>
      <c r="M164" s="4" t="inlineStr">
        <is>
          <t>BCUR (ShanghaiRanking) 2026</t>
        </is>
      </c>
      <c r="N164" s="4" t="inlineStr">
        <is>
          <t>180</t>
        </is>
      </c>
      <c r="O164" s="4" t="inlineStr">
        <is>
          <t>https://www.shanghairanking.cn/rankings/bcur/2026</t>
        </is>
      </c>
      <c r="P164" s="4" t="n"/>
    </row>
    <row r="165">
      <c r="A165" s="3" t="inlineStr">
        <is>
          <t>China|Beihang University (Beijing University of Aeronautics and Astronautics)</t>
        </is>
      </c>
      <c r="B165" s="3" t="inlineStr">
        <is>
          <t>China</t>
        </is>
      </c>
      <c r="C165" s="3" t="inlineStr">
        <is>
          <t>Пекин</t>
        </is>
      </c>
      <c r="D165" s="3" t="inlineStr">
        <is>
          <t>Beihang University (Beijing University of Aeronautics and Astronautics)</t>
        </is>
      </c>
      <c r="E165" s="3" t="inlineStr">
        <is>
          <t>北京航空航天大学</t>
        </is>
      </c>
      <c r="F165" s="3" t="inlineStr">
        <is>
          <t>https://www.buaa.edu.cn</t>
        </is>
      </c>
      <c r="G165" s="3" t="inlineStr">
        <is>
          <t>QS2027: 349</t>
        </is>
      </c>
      <c r="H165" s="3" t="inlineStr">
        <is>
          <t>THE2027: =185</t>
        </is>
      </c>
      <c r="I165" s="3" t="inlineStr">
        <is>
          <t>BCUR2026: 11</t>
        </is>
      </c>
      <c r="J165" s="4">
        <f>349</f>
        <v/>
      </c>
      <c r="K165" s="4">
        <f>185</f>
        <v/>
      </c>
      <c r="L165" s="4" t="inlineStr">
        <is>
          <t>нет в опубл. списке (опубликован только топ-15 страны)</t>
        </is>
      </c>
      <c r="M165" s="4" t="inlineStr">
        <is>
          <t>BCUR (ShanghaiRanking) 2026</t>
        </is>
      </c>
      <c r="N165" s="4" t="inlineStr">
        <is>
          <t>11</t>
        </is>
      </c>
      <c r="O165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65" s="4" t="n"/>
    </row>
    <row r="166">
      <c r="A166" s="3" t="inlineStr">
        <is>
          <t>China|Beijing Forestry University</t>
        </is>
      </c>
      <c r="B166" s="3" t="inlineStr">
        <is>
          <t>China</t>
        </is>
      </c>
      <c r="C166" s="3" t="inlineStr">
        <is>
          <t>Пекин</t>
        </is>
      </c>
      <c r="D166" s="3" t="inlineStr">
        <is>
          <t>Beijing Forestry University</t>
        </is>
      </c>
      <c r="E166" s="3" t="inlineStr">
        <is>
          <t>北京林业大学</t>
        </is>
      </c>
      <c r="F166" s="3" t="inlineStr">
        <is>
          <t>https://www.bjfu.edu.cn</t>
        </is>
      </c>
      <c r="G166" s="3" t="inlineStr">
        <is>
          <t>QS2027: 731-740</t>
        </is>
      </c>
      <c r="H166" s="3" t="inlineStr"/>
      <c r="I166" s="3" t="inlineStr">
        <is>
          <t>BCUR2026: 83</t>
        </is>
      </c>
      <c r="J166" s="4" t="inlineStr">
        <is>
          <t>731–740</t>
        </is>
      </c>
      <c r="K166" s="4" t="inlineStr">
        <is>
          <t>не в рейтинге</t>
        </is>
      </c>
      <c r="L166" s="4" t="inlineStr">
        <is>
          <t>нет в опубл. списке (опубликован только топ-15 страны)</t>
        </is>
      </c>
      <c r="M166" s="4" t="inlineStr">
        <is>
          <t>BCUR (ShanghaiRanking) 2026</t>
        </is>
      </c>
      <c r="N166" s="4" t="inlineStr">
        <is>
          <t>83</t>
        </is>
      </c>
      <c r="O166" s="4" t="inlineStr">
        <is>
          <t>https://www.topuniversities.com/world-university-rankings (QS WUR 2027)
https://www.shanghairanking.cn/rankings/bcur/2026</t>
        </is>
      </c>
      <c r="P166" s="4" t="n"/>
    </row>
    <row r="167">
      <c r="A167" s="3" t="inlineStr">
        <is>
          <t>China|Beijing Institute of Technology</t>
        </is>
      </c>
      <c r="B167" s="3" t="inlineStr">
        <is>
          <t>China</t>
        </is>
      </c>
      <c r="C167" s="3" t="inlineStr">
        <is>
          <t>Пекин</t>
        </is>
      </c>
      <c r="D167" s="3" t="inlineStr">
        <is>
          <t>Beijing Institute of Technology</t>
        </is>
      </c>
      <c r="E167" s="3" t="inlineStr">
        <is>
          <t>北京理工大学</t>
        </is>
      </c>
      <c r="F167" s="3" t="inlineStr">
        <is>
          <t>https://www.bit.edu.cn</t>
        </is>
      </c>
      <c r="G167" s="3" t="inlineStr">
        <is>
          <t>QS2027: 243</t>
        </is>
      </c>
      <c r="H167" s="3" t="inlineStr">
        <is>
          <t>THE2027: 234</t>
        </is>
      </c>
      <c r="I167" s="3" t="inlineStr">
        <is>
          <t>BCUR2026: 14</t>
        </is>
      </c>
      <c r="J167" s="4" t="inlineStr">
        <is>
          <t>243</t>
        </is>
      </c>
      <c r="K167" s="4" t="inlineStr">
        <is>
          <t>234</t>
        </is>
      </c>
      <c r="L167" s="4" t="inlineStr">
        <is>
          <t>нет в опубл. списке (опубликован только топ-15 страны)</t>
        </is>
      </c>
      <c r="M167" s="4" t="inlineStr">
        <is>
          <t>BCUR (ShanghaiRanking) 2026</t>
        </is>
      </c>
      <c r="N167" s="4" t="inlineStr">
        <is>
          <t>14</t>
        </is>
      </c>
      <c r="O167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67" s="4" t="n"/>
    </row>
    <row r="168">
      <c r="A168" s="3" t="inlineStr">
        <is>
          <t>China|Beijing Jiaotong University</t>
        </is>
      </c>
      <c r="B168" s="3" t="inlineStr">
        <is>
          <t>China</t>
        </is>
      </c>
      <c r="C168" s="3" t="inlineStr">
        <is>
          <t>Пекин</t>
        </is>
      </c>
      <c r="D168" s="3" t="inlineStr">
        <is>
          <t>Beijing Jiaotong University</t>
        </is>
      </c>
      <c r="E168" s="3" t="inlineStr">
        <is>
          <t>北京交通大学</t>
        </is>
      </c>
      <c r="F168" s="3" t="inlineStr">
        <is>
          <t>https://www.bjtu.edu.cn</t>
        </is>
      </c>
      <c r="G168" s="3" t="inlineStr"/>
      <c r="H168" s="3" t="inlineStr">
        <is>
          <t>THE2023: 1001–1200 (not listed in later editions)</t>
        </is>
      </c>
      <c r="I168" s="3" t="inlineStr">
        <is>
          <t>BCUR2026: 41</t>
        </is>
      </c>
      <c r="J168" s="4" t="inlineStr">
        <is>
          <t>771–780</t>
        </is>
      </c>
      <c r="K168" s="4" t="inlineStr">
        <is>
          <t>не в рейтинге</t>
        </is>
      </c>
      <c r="L168" s="4" t="inlineStr">
        <is>
          <t>нет в опубл. списке (опубликован только топ-15 страны)</t>
        </is>
      </c>
      <c r="M168" s="4" t="inlineStr">
        <is>
          <t>BCUR (ShanghaiRanking) 2026</t>
        </is>
      </c>
      <c r="N168" s="4" t="inlineStr">
        <is>
          <t>41</t>
        </is>
      </c>
      <c r="O168" s="4" t="inlineStr">
        <is>
          <t>https://www.topuniversities.com/world-university-rankings (QS WUR 2027)
https://www.shanghairanking.cn/rankings/bcur/2026</t>
        </is>
      </c>
      <c r="P168" s="4" t="n"/>
    </row>
    <row r="169">
      <c r="A169" s="3" t="inlineStr">
        <is>
          <t>China|Beijing Normal University</t>
        </is>
      </c>
      <c r="B169" s="3" t="inlineStr">
        <is>
          <t>China</t>
        </is>
      </c>
      <c r="C169" s="3" t="inlineStr">
        <is>
          <t>Пекин</t>
        </is>
      </c>
      <c r="D169" s="3" t="inlineStr">
        <is>
          <t>Beijing Normal University</t>
        </is>
      </c>
      <c r="E169" s="3" t="inlineStr">
        <is>
          <t>北京师范大学</t>
        </is>
      </c>
      <c r="F169" s="3" t="inlineStr">
        <is>
          <t>https://www.bnu.edu.cn</t>
        </is>
      </c>
      <c r="G169" s="3" t="inlineStr">
        <is>
          <t>QS2027: 237</t>
        </is>
      </c>
      <c r="H169" s="3" t="inlineStr">
        <is>
          <t>THE2027: 125</t>
        </is>
      </c>
      <c r="I169" s="3" t="inlineStr">
        <is>
          <t>BCUR2026: 19</t>
        </is>
      </c>
      <c r="J169" s="4">
        <f>237</f>
        <v/>
      </c>
      <c r="K169" s="4" t="inlineStr">
        <is>
          <t>125</t>
        </is>
      </c>
      <c r="L169" s="4" t="inlineStr">
        <is>
          <t>нет в опубл. списке (опубликован только топ-15 страны)</t>
        </is>
      </c>
      <c r="M169" s="4" t="inlineStr">
        <is>
          <t>BCUR (ShanghaiRanking) 2026</t>
        </is>
      </c>
      <c r="N169" s="4" t="inlineStr">
        <is>
          <t>19</t>
        </is>
      </c>
      <c r="O169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69" s="4" t="n"/>
    </row>
    <row r="170">
      <c r="A170" s="3" t="inlineStr">
        <is>
          <t>China|Beijing University of Chemical Technology</t>
        </is>
      </c>
      <c r="B170" s="3" t="inlineStr">
        <is>
          <t>China</t>
        </is>
      </c>
      <c r="C170" s="3" t="inlineStr">
        <is>
          <t>Пекин</t>
        </is>
      </c>
      <c r="D170" s="3" t="inlineStr">
        <is>
          <t>Beijing University of Chemical Technology</t>
        </is>
      </c>
      <c r="E170" s="3" t="inlineStr">
        <is>
          <t>北京化工大学</t>
        </is>
      </c>
      <c r="F170" s="3" t="inlineStr">
        <is>
          <t>https://www.buct.edu.cn</t>
        </is>
      </c>
      <c r="G170" s="3" t="inlineStr">
        <is>
          <t>QS2027: 649</t>
        </is>
      </c>
      <c r="H170" s="3" t="inlineStr">
        <is>
          <t>THE2027: 551–600</t>
        </is>
      </c>
      <c r="I170" s="3" t="inlineStr">
        <is>
          <t>BCUR2026: 57</t>
        </is>
      </c>
      <c r="J170" s="4">
        <f>649</f>
        <v/>
      </c>
      <c r="K170" s="4" t="inlineStr">
        <is>
          <t>551–600</t>
        </is>
      </c>
      <c r="L170" s="4" t="inlineStr">
        <is>
          <t>нет в опубл. списке (опубликован только топ-15 страны)</t>
        </is>
      </c>
      <c r="M170" s="4" t="inlineStr">
        <is>
          <t>BCUR (ShanghaiRanking) 2026</t>
        </is>
      </c>
      <c r="N170" s="4" t="inlineStr">
        <is>
          <t>57</t>
        </is>
      </c>
      <c r="O17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70" s="4" t="n"/>
    </row>
    <row r="171">
      <c r="A171" s="3" t="inlineStr">
        <is>
          <t>China|Beijing University of Civil Engineering and Architecture</t>
        </is>
      </c>
      <c r="B171" s="3" t="inlineStr">
        <is>
          <t>China</t>
        </is>
      </c>
      <c r="C171" s="3" t="inlineStr">
        <is>
          <t>Пекин</t>
        </is>
      </c>
      <c r="D171" s="3" t="inlineStr">
        <is>
          <t>Beijing University of Civil Engineering and Architecture</t>
        </is>
      </c>
      <c r="E171" s="3" t="inlineStr">
        <is>
          <t>北京建筑大学</t>
        </is>
      </c>
      <c r="F171" s="3" t="inlineStr">
        <is>
          <t>https://www.bucea.edu.cn</t>
        </is>
      </c>
      <c r="G171" s="3" t="inlineStr"/>
      <c r="H171" s="3" t="inlineStr"/>
      <c r="I171" s="3" t="inlineStr">
        <is>
          <t>BCUR2026: 178</t>
        </is>
      </c>
      <c r="J171" s="4" t="inlineStr">
        <is>
          <t>не в рейтинге</t>
        </is>
      </c>
      <c r="K171" s="4" t="inlineStr">
        <is>
          <t>не в рейтинге</t>
        </is>
      </c>
      <c r="L171" s="4" t="inlineStr">
        <is>
          <t>нет в опубл. списке (опубликован только топ-15 страны)</t>
        </is>
      </c>
      <c r="M171" s="4" t="inlineStr">
        <is>
          <t>BCUR (ShanghaiRanking) 2026</t>
        </is>
      </c>
      <c r="N171" s="4" t="inlineStr">
        <is>
          <t>178</t>
        </is>
      </c>
      <c r="O171" s="4" t="inlineStr">
        <is>
          <t>https://www.shanghairanking.cn/rankings/bcur/2026</t>
        </is>
      </c>
      <c r="P171" s="4" t="n"/>
    </row>
    <row r="172">
      <c r="A172" s="3" t="inlineStr">
        <is>
          <t>China|Beijing University of Technology</t>
        </is>
      </c>
      <c r="B172" s="3" t="inlineStr">
        <is>
          <t>China</t>
        </is>
      </c>
      <c r="C172" s="3" t="inlineStr">
        <is>
          <t>Пекин</t>
        </is>
      </c>
      <c r="D172" s="3" t="inlineStr">
        <is>
          <t>Beijing University of Technology</t>
        </is>
      </c>
      <c r="E172" s="3" t="inlineStr">
        <is>
          <t>北京工业大学</t>
        </is>
      </c>
      <c r="F172" s="3" t="inlineStr">
        <is>
          <t>https://www.bjut.edu.cn</t>
        </is>
      </c>
      <c r="G172" s="3" t="inlineStr">
        <is>
          <t>QS2027: 731-740</t>
        </is>
      </c>
      <c r="H172" s="3" t="inlineStr"/>
      <c r="I172" s="3" t="inlineStr">
        <is>
          <t>BCUR2026: 65</t>
        </is>
      </c>
      <c r="J172" s="4" t="inlineStr">
        <is>
          <t>731–740</t>
        </is>
      </c>
      <c r="K172" s="4" t="inlineStr">
        <is>
          <t>не в рейтинге</t>
        </is>
      </c>
      <c r="L172" s="4" t="inlineStr">
        <is>
          <t>нет в опубл. списке (опубликован только топ-15 страны)</t>
        </is>
      </c>
      <c r="M172" s="4" t="inlineStr">
        <is>
          <t>BCUR (ShanghaiRanking) 2026</t>
        </is>
      </c>
      <c r="N172" s="4" t="inlineStr">
        <is>
          <t>65</t>
        </is>
      </c>
      <c r="O172" s="4" t="inlineStr">
        <is>
          <t>https://www.topuniversities.com/world-university-rankings (QS WUR 2027)
https://www.shanghairanking.cn/rankings/bcur/2026</t>
        </is>
      </c>
      <c r="P172" s="4" t="n"/>
    </row>
    <row r="173">
      <c r="A173" s="3" t="inlineStr">
        <is>
          <t>China|Capital Normal University</t>
        </is>
      </c>
      <c r="B173" s="3" t="inlineStr">
        <is>
          <t>China</t>
        </is>
      </c>
      <c r="C173" s="3" t="inlineStr">
        <is>
          <t>Пекин</t>
        </is>
      </c>
      <c r="D173" s="3" t="inlineStr">
        <is>
          <t>Capital Normal University</t>
        </is>
      </c>
      <c r="E173" s="3" t="inlineStr">
        <is>
          <t>首都师范大学</t>
        </is>
      </c>
      <c r="F173" s="3" t="inlineStr">
        <is>
          <t>https://www.cnu.edu.cn</t>
        </is>
      </c>
      <c r="G173" s="3" t="inlineStr"/>
      <c r="H173" s="3" t="inlineStr"/>
      <c r="I173" s="3" t="inlineStr">
        <is>
          <t>BCUR2026: 100</t>
        </is>
      </c>
      <c r="J173" s="4" t="inlineStr">
        <is>
          <t>не в рейтинге</t>
        </is>
      </c>
      <c r="K173" s="4" t="inlineStr">
        <is>
          <t>не в рейтинге</t>
        </is>
      </c>
      <c r="L173" s="4" t="inlineStr">
        <is>
          <t>нет в опубл. списке (опубликован только топ-15 страны)</t>
        </is>
      </c>
      <c r="M173" s="4" t="inlineStr">
        <is>
          <t>BCUR (ShanghaiRanking) 2026</t>
        </is>
      </c>
      <c r="N173" s="4" t="inlineStr">
        <is>
          <t>100</t>
        </is>
      </c>
      <c r="O173" s="4" t="inlineStr">
        <is>
          <t>https://www.shanghairanking.cn/rankings/bcur/2026</t>
        </is>
      </c>
      <c r="P173" s="4" t="n"/>
    </row>
    <row r="174">
      <c r="A174" s="3" t="inlineStr">
        <is>
          <t>China|Central China Normal University</t>
        </is>
      </c>
      <c r="B174" s="3" t="inlineStr">
        <is>
          <t>China</t>
        </is>
      </c>
      <c r="C174" s="3" t="inlineStr">
        <is>
          <t>Ухань</t>
        </is>
      </c>
      <c r="D174" s="3" t="inlineStr">
        <is>
          <t>Central China Normal University</t>
        </is>
      </c>
      <c r="E174" s="3" t="inlineStr">
        <is>
          <t>华中师范大学</t>
        </is>
      </c>
      <c r="F174" s="3" t="inlineStr">
        <is>
          <t>https://www.ccnu.edu.cn</t>
        </is>
      </c>
      <c r="G174" s="3" t="inlineStr"/>
      <c r="H174" s="3" t="inlineStr">
        <is>
          <t>THE2018: 501–600 (not listed in later editions)</t>
        </is>
      </c>
      <c r="I174" s="3" t="inlineStr">
        <is>
          <t>BCUR2026: 53</t>
        </is>
      </c>
      <c r="J174" s="4" t="inlineStr">
        <is>
          <t>1201–1400</t>
        </is>
      </c>
      <c r="K174" s="4" t="inlineStr">
        <is>
          <t>не в рейтинге</t>
        </is>
      </c>
      <c r="L174" s="4" t="inlineStr">
        <is>
          <t>нет в опубл. списке (опубликован только топ-15 страны)</t>
        </is>
      </c>
      <c r="M174" s="4" t="inlineStr">
        <is>
          <t>BCUR (ShanghaiRanking) 2026</t>
        </is>
      </c>
      <c r="N174" s="4" t="inlineStr">
        <is>
          <t>53</t>
        </is>
      </c>
      <c r="O174" s="4" t="inlineStr">
        <is>
          <t>https://www.topuniversities.com/world-university-rankings (QS WUR 2027)
https://www.shanghairanking.cn/rankings/bcur/2026</t>
        </is>
      </c>
      <c r="P174" s="4" t="n"/>
    </row>
    <row r="175">
      <c r="A175" s="3" t="inlineStr">
        <is>
          <t>China|Central South University</t>
        </is>
      </c>
      <c r="B175" s="3" t="inlineStr">
        <is>
          <t>China</t>
        </is>
      </c>
      <c r="C175" s="3" t="inlineStr">
        <is>
          <t>Чанша</t>
        </is>
      </c>
      <c r="D175" s="3" t="inlineStr">
        <is>
          <t>Central South University</t>
        </is>
      </c>
      <c r="E175" s="3" t="inlineStr">
        <is>
          <t>中南大学</t>
        </is>
      </c>
      <c r="F175" s="3" t="inlineStr">
        <is>
          <t>https://www.csu.edu.cn</t>
        </is>
      </c>
      <c r="G175" s="3" t="inlineStr">
        <is>
          <t>QS2027: 452</t>
        </is>
      </c>
      <c r="H175" s="3" t="inlineStr">
        <is>
          <t>THE2027: =277</t>
        </is>
      </c>
      <c r="I175" s="3" t="inlineStr">
        <is>
          <t>BCUR2026: 27</t>
        </is>
      </c>
      <c r="J175" s="4">
        <f>452</f>
        <v/>
      </c>
      <c r="K175" s="4">
        <f>277</f>
        <v/>
      </c>
      <c r="L175" s="4" t="inlineStr">
        <is>
          <t>нет в опубл. списке (опубликован только топ-15 страны)</t>
        </is>
      </c>
      <c r="M175" s="4" t="inlineStr">
        <is>
          <t>BCUR (ShanghaiRanking) 2026</t>
        </is>
      </c>
      <c r="N175" s="4" t="inlineStr">
        <is>
          <t>27</t>
        </is>
      </c>
      <c r="O175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75" s="4" t="n"/>
    </row>
    <row r="176">
      <c r="A176" s="3" t="inlineStr">
        <is>
          <t>China|Chang'an University</t>
        </is>
      </c>
      <c r="B176" s="3" t="inlineStr">
        <is>
          <t>China</t>
        </is>
      </c>
      <c r="C176" s="3" t="inlineStr">
        <is>
          <t>Сиань</t>
        </is>
      </c>
      <c r="D176" s="3" t="inlineStr">
        <is>
          <t>Chang'an University</t>
        </is>
      </c>
      <c r="E176" s="3" t="inlineStr">
        <is>
          <t>长安大学</t>
        </is>
      </c>
      <c r="F176" s="3" t="inlineStr">
        <is>
          <t>https://www.chd.edu.cn</t>
        </is>
      </c>
      <c r="G176" s="3" t="inlineStr"/>
      <c r="H176" s="3" t="inlineStr">
        <is>
          <t>THE2027: 1001–1200</t>
        </is>
      </c>
      <c r="I176" s="3" t="inlineStr">
        <is>
          <t>BCUR2026: 89</t>
        </is>
      </c>
      <c r="J176" s="4" t="inlineStr">
        <is>
          <t>не в рейтинге</t>
        </is>
      </c>
      <c r="K176" s="4" t="inlineStr">
        <is>
          <t>1001–1200</t>
        </is>
      </c>
      <c r="L176" s="4" t="inlineStr">
        <is>
          <t>нет в опубл. списке (опубликован только топ-15 страны)</t>
        </is>
      </c>
      <c r="M176" s="4" t="inlineStr">
        <is>
          <t>BCUR (ShanghaiRanking) 2026</t>
        </is>
      </c>
      <c r="N176" s="4" t="inlineStr">
        <is>
          <t>89</t>
        </is>
      </c>
      <c r="O176" s="4" t="inlineStr">
        <is>
          <t>https://www.timeshighereducation.com/world-university-rankings/2027/world-ranking
https://www.shanghairanking.cn/rankings/bcur/2026</t>
        </is>
      </c>
      <c r="P176" s="4" t="n"/>
    </row>
    <row r="177">
      <c r="A177" s="3" t="inlineStr">
        <is>
          <t>China|Changchun University of Science and Technology</t>
        </is>
      </c>
      <c r="B177" s="3" t="inlineStr">
        <is>
          <t>China</t>
        </is>
      </c>
      <c r="C177" s="3" t="inlineStr">
        <is>
          <t>Чанчунь</t>
        </is>
      </c>
      <c r="D177" s="3" t="inlineStr">
        <is>
          <t>Changchun University of Science and Technology</t>
        </is>
      </c>
      <c r="E177" s="3" t="inlineStr">
        <is>
          <t>长春理工大学</t>
        </is>
      </c>
      <c r="F177" s="3" t="inlineStr">
        <is>
          <t>https://www.cust.edu.cn</t>
        </is>
      </c>
      <c r="G177" s="3" t="inlineStr"/>
      <c r="H177" s="3" t="inlineStr"/>
      <c r="I177" s="3" t="inlineStr">
        <is>
          <t>BCUR2026: 138</t>
        </is>
      </c>
      <c r="J177" s="4" t="inlineStr">
        <is>
          <t>не в рейтинге</t>
        </is>
      </c>
      <c r="K177" s="4" t="inlineStr">
        <is>
          <t>не в рейтинге</t>
        </is>
      </c>
      <c r="L177" s="4" t="inlineStr">
        <is>
          <t>нет в опубл. списке (опубликован только топ-15 страны)</t>
        </is>
      </c>
      <c r="M177" s="4" t="inlineStr">
        <is>
          <t>BCUR (ShanghaiRanking) 2026</t>
        </is>
      </c>
      <c r="N177" s="4" t="inlineStr">
        <is>
          <t>138</t>
        </is>
      </c>
      <c r="O177" s="4" t="inlineStr">
        <is>
          <t>https://www.shanghairanking.cn/rankings/bcur/2026</t>
        </is>
      </c>
      <c r="P177" s="4" t="n"/>
    </row>
    <row r="178">
      <c r="A178" s="3" t="inlineStr">
        <is>
          <t>China|Changsha University of Science &amp; Technology</t>
        </is>
      </c>
      <c r="B178" s="3" t="inlineStr">
        <is>
          <t>China</t>
        </is>
      </c>
      <c r="C178" s="3" t="inlineStr">
        <is>
          <t>Чанша</t>
        </is>
      </c>
      <c r="D178" s="3" t="inlineStr">
        <is>
          <t>Changsha University of Science &amp; Technology</t>
        </is>
      </c>
      <c r="E178" s="3" t="inlineStr">
        <is>
          <t>长沙理工大学</t>
        </is>
      </c>
      <c r="F178" s="3" t="inlineStr">
        <is>
          <t>https://www.csust.edu.cn</t>
        </is>
      </c>
      <c r="G178" s="3" t="inlineStr"/>
      <c r="H178" s="3" t="inlineStr">
        <is>
          <t>THE2027: 1201–1400</t>
        </is>
      </c>
      <c r="I178" s="3" t="inlineStr">
        <is>
          <t>BCUR2026: 135</t>
        </is>
      </c>
      <c r="J178" s="4" t="inlineStr">
        <is>
          <t>не в рейтинге</t>
        </is>
      </c>
      <c r="K178" s="4" t="inlineStr">
        <is>
          <t>1201–1400</t>
        </is>
      </c>
      <c r="L178" s="4" t="inlineStr">
        <is>
          <t>нет в опубл. списке (опубликован только топ-15 страны)</t>
        </is>
      </c>
      <c r="M178" s="4" t="inlineStr">
        <is>
          <t>BCUR (ShanghaiRanking) 2026</t>
        </is>
      </c>
      <c r="N178" s="4" t="inlineStr">
        <is>
          <t>135</t>
        </is>
      </c>
      <c r="O178" s="4" t="inlineStr">
        <is>
          <t>https://www.timeshighereducation.com/world-university-rankings/2027/world-ranking
https://www.shanghairanking.cn/rankings/bcur/2026</t>
        </is>
      </c>
      <c r="P178" s="4" t="n"/>
    </row>
    <row r="179">
      <c r="A179" s="3" t="inlineStr">
        <is>
          <t>China|Changzhou University</t>
        </is>
      </c>
      <c r="B179" s="3" t="inlineStr">
        <is>
          <t>China</t>
        </is>
      </c>
      <c r="C179" s="3" t="inlineStr">
        <is>
          <t>Чанчжоу</t>
        </is>
      </c>
      <c r="D179" s="3" t="inlineStr">
        <is>
          <t>Changzhou University</t>
        </is>
      </c>
      <c r="E179" s="3" t="inlineStr">
        <is>
          <t>常州大学</t>
        </is>
      </c>
      <c r="F179" s="3" t="inlineStr">
        <is>
          <t>https://www.cczu.edu.cn</t>
        </is>
      </c>
      <c r="G179" s="3" t="inlineStr"/>
      <c r="H179" s="3" t="inlineStr">
        <is>
          <t>THE2027: 1201–1400</t>
        </is>
      </c>
      <c r="I179" s="3" t="inlineStr">
        <is>
          <t>BCUR2026: 165</t>
        </is>
      </c>
      <c r="J179" s="4" t="inlineStr">
        <is>
          <t>не в рейтинге</t>
        </is>
      </c>
      <c r="K179" s="4" t="inlineStr">
        <is>
          <t>1201–1400</t>
        </is>
      </c>
      <c r="L179" s="4" t="inlineStr">
        <is>
          <t>нет в опубл. списке (опубликован только топ-15 страны)</t>
        </is>
      </c>
      <c r="M179" s="4" t="inlineStr">
        <is>
          <t>BCUR (ShanghaiRanking) 2026</t>
        </is>
      </c>
      <c r="N179" s="4" t="inlineStr">
        <is>
          <t>165</t>
        </is>
      </c>
      <c r="O179" s="4" t="inlineStr">
        <is>
          <t>https://www.timeshighereducation.com/world-university-rankings/2027/world-ranking
https://www.shanghairanking.cn/rankings/bcur/2026</t>
        </is>
      </c>
      <c r="P179" s="4" t="n"/>
    </row>
    <row r="180">
      <c r="A180" s="3" t="inlineStr">
        <is>
          <t>China|China Agricultural University</t>
        </is>
      </c>
      <c r="B180" s="3" t="inlineStr">
        <is>
          <t>China</t>
        </is>
      </c>
      <c r="C180" s="3" t="inlineStr">
        <is>
          <t>Пекин</t>
        </is>
      </c>
      <c r="D180" s="3" t="inlineStr">
        <is>
          <t>China Agricultural University</t>
        </is>
      </c>
      <c r="E180" s="3" t="inlineStr">
        <is>
          <t>中国农业大学</t>
        </is>
      </c>
      <c r="F180" s="3" t="inlineStr">
        <is>
          <t>https://www.cau.edu.cn</t>
        </is>
      </c>
      <c r="G180" s="3" t="inlineStr">
        <is>
          <t>QS2027: 477</t>
        </is>
      </c>
      <c r="H180" s="3" t="inlineStr">
        <is>
          <t>THE2022: 601-800 (not listed in later editions)</t>
        </is>
      </c>
      <c r="I180" s="3" t="inlineStr">
        <is>
          <t>BCUR2026: 24</t>
        </is>
      </c>
      <c r="J180" s="4">
        <f>477</f>
        <v/>
      </c>
      <c r="K180" s="4" t="inlineStr">
        <is>
          <t>не в рейтинге</t>
        </is>
      </c>
      <c r="L180" s="4" t="inlineStr">
        <is>
          <t>нет в опубл. списке (опубликован только топ-15 страны)</t>
        </is>
      </c>
      <c r="M180" s="4" t="inlineStr">
        <is>
          <t>BCUR (ShanghaiRanking) 2026</t>
        </is>
      </c>
      <c r="N180" s="4" t="inlineStr">
        <is>
          <t>24</t>
        </is>
      </c>
      <c r="O180" s="4" t="inlineStr">
        <is>
          <t>https://www.topuniversities.com/world-university-rankings (QS WUR 2027)
https://www.shanghairanking.cn/rankings/bcur/2026</t>
        </is>
      </c>
      <c r="P180" s="4" t="n"/>
    </row>
    <row r="181">
      <c r="A181" s="3" t="inlineStr">
        <is>
          <t>China|China Three Gorges University</t>
        </is>
      </c>
      <c r="B181" s="3" t="inlineStr">
        <is>
          <t>China</t>
        </is>
      </c>
      <c r="C181" s="3" t="inlineStr">
        <is>
          <t>Ичан</t>
        </is>
      </c>
      <c r="D181" s="3" t="inlineStr">
        <is>
          <t>China Three Gorges University</t>
        </is>
      </c>
      <c r="E181" s="3" t="inlineStr">
        <is>
          <t>三峡大学</t>
        </is>
      </c>
      <c r="F181" s="3" t="inlineStr">
        <is>
          <t>https://www.ctgu.edu.cn</t>
        </is>
      </c>
      <c r="G181" s="3" t="inlineStr"/>
      <c r="H181" s="3" t="inlineStr"/>
      <c r="I181" s="3" t="inlineStr">
        <is>
          <t>BCUR2026: 174</t>
        </is>
      </c>
      <c r="J181" s="4" t="inlineStr">
        <is>
          <t>не в рейтинге</t>
        </is>
      </c>
      <c r="K181" s="4" t="inlineStr">
        <is>
          <t>не в рейтинге</t>
        </is>
      </c>
      <c r="L181" s="4" t="inlineStr">
        <is>
          <t>нет в опубл. списке (опубликован только топ-15 страны)</t>
        </is>
      </c>
      <c r="M181" s="4" t="inlineStr">
        <is>
          <t>BCUR (ShanghaiRanking) 2026</t>
        </is>
      </c>
      <c r="N181" s="4" t="inlineStr">
        <is>
          <t>174</t>
        </is>
      </c>
      <c r="O181" s="4" t="inlineStr">
        <is>
          <t>https://www.shanghairanking.cn/rankings/bcur/2026</t>
        </is>
      </c>
      <c r="P181" s="4" t="n"/>
    </row>
    <row r="182">
      <c r="A182" s="3" t="inlineStr">
        <is>
          <t>China|China University of Geosciences (Wuhan)</t>
        </is>
      </c>
      <c r="B182" s="3" t="inlineStr">
        <is>
          <t>China</t>
        </is>
      </c>
      <c r="C182" s="3" t="inlineStr">
        <is>
          <t>Ухань</t>
        </is>
      </c>
      <c r="D182" s="3" t="inlineStr">
        <is>
          <t>China University of Geosciences (Wuhan)</t>
        </is>
      </c>
      <c r="E182" s="3" t="inlineStr">
        <is>
          <t>中国地质大学（武汉）</t>
        </is>
      </c>
      <c r="F182" s="3" t="inlineStr">
        <is>
          <t>https://www.cug.edu.cn</t>
        </is>
      </c>
      <c r="G182" s="3" t="inlineStr">
        <is>
          <t>QS2027: =677</t>
        </is>
      </c>
      <c r="H182" s="3" t="inlineStr">
        <is>
          <t>THE2022: 801-1000 (not listed in later editions)</t>
        </is>
      </c>
      <c r="I182" s="3" t="inlineStr">
        <is>
          <t>BCUR2026: 56</t>
        </is>
      </c>
      <c r="J182" s="4">
        <f>677</f>
        <v/>
      </c>
      <c r="K182" s="4" t="inlineStr">
        <is>
          <t>не в рейтинге</t>
        </is>
      </c>
      <c r="L182" s="4" t="inlineStr">
        <is>
          <t>нет в опубл. списке (опубликован только топ-15 страны)</t>
        </is>
      </c>
      <c r="M182" s="4" t="inlineStr">
        <is>
          <t>BCUR (ShanghaiRanking) 2026</t>
        </is>
      </c>
      <c r="N182" s="4" t="inlineStr">
        <is>
          <t>56</t>
        </is>
      </c>
      <c r="O182" s="4" t="inlineStr">
        <is>
          <t>https://www.topuniversities.com/world-university-rankings (QS WUR 2027)
https://www.shanghairanking.cn/rankings/bcur/2026</t>
        </is>
      </c>
      <c r="P182" s="4" t="n"/>
    </row>
    <row r="183">
      <c r="A183" s="3" t="inlineStr">
        <is>
          <t>China|China University of Geosciences Beijing</t>
        </is>
      </c>
      <c r="B183" s="3" t="inlineStr">
        <is>
          <t>China</t>
        </is>
      </c>
      <c r="C183" s="3" t="inlineStr">
        <is>
          <t>Пекин</t>
        </is>
      </c>
      <c r="D183" s="3" t="inlineStr">
        <is>
          <t>China University of Geosciences Beijing</t>
        </is>
      </c>
      <c r="E183" s="3" t="inlineStr">
        <is>
          <t>中国地质大学（北京）</t>
        </is>
      </c>
      <c r="F183" s="3" t="inlineStr">
        <is>
          <t>https://www.cugb.edu.cn</t>
        </is>
      </c>
      <c r="G183" s="3" t="inlineStr"/>
      <c r="H183" s="3" t="inlineStr"/>
      <c r="I183" s="3" t="inlineStr">
        <is>
          <t>BCUR2026: 75</t>
        </is>
      </c>
      <c r="J183" s="4" t="inlineStr">
        <is>
          <t>не в рейтинге</t>
        </is>
      </c>
      <c r="K183" s="4" t="inlineStr">
        <is>
          <t>не в рейтинге</t>
        </is>
      </c>
      <c r="L183" s="4" t="inlineStr">
        <is>
          <t>нет в опубл. списке (опубликован только топ-15 страны)</t>
        </is>
      </c>
      <c r="M183" s="4" t="inlineStr">
        <is>
          <t>BCUR (ShanghaiRanking) 2026</t>
        </is>
      </c>
      <c r="N183" s="4" t="inlineStr">
        <is>
          <t>75</t>
        </is>
      </c>
      <c r="O183" s="4" t="inlineStr">
        <is>
          <t>https://www.shanghairanking.cn/rankings/bcur/2026</t>
        </is>
      </c>
      <c r="P183" s="4" t="n"/>
    </row>
    <row r="184">
      <c r="A184" s="3" t="inlineStr">
        <is>
          <t>China|China University of Mining and Technology</t>
        </is>
      </c>
      <c r="B184" s="3" t="inlineStr">
        <is>
          <t>China</t>
        </is>
      </c>
      <c r="C184" s="3" t="inlineStr">
        <is>
          <t>Сюйчжоу</t>
        </is>
      </c>
      <c r="D184" s="3" t="inlineStr">
        <is>
          <t>China University of Mining and Technology</t>
        </is>
      </c>
      <c r="E184" s="3" t="inlineStr">
        <is>
          <t>中国矿业大学</t>
        </is>
      </c>
      <c r="F184" s="3" t="inlineStr">
        <is>
          <t>https://www.cumt.edu.cn</t>
        </is>
      </c>
      <c r="G184" s="3" t="inlineStr">
        <is>
          <t>QS2027: 659</t>
        </is>
      </c>
      <c r="H184" s="3" t="inlineStr"/>
      <c r="I184" s="3" t="inlineStr">
        <is>
          <t>BCUR2026: 67</t>
        </is>
      </c>
      <c r="J184" s="4">
        <f>659</f>
        <v/>
      </c>
      <c r="K184" s="4" t="inlineStr">
        <is>
          <t>не в рейтинге</t>
        </is>
      </c>
      <c r="L184" s="4" t="inlineStr">
        <is>
          <t>нет в опубл. списке (опубликован только топ-15 страны)</t>
        </is>
      </c>
      <c r="M184" s="4" t="inlineStr">
        <is>
          <t>BCUR (ShanghaiRanking) 2026</t>
        </is>
      </c>
      <c r="N184" s="4" t="inlineStr">
        <is>
          <t>67</t>
        </is>
      </c>
      <c r="O184" s="4" t="inlineStr">
        <is>
          <t>https://www.topuniversities.com/world-university-rankings (QS WUR 2027)
https://www.shanghairanking.cn/rankings/bcur/2026</t>
        </is>
      </c>
      <c r="P184" s="4" t="n"/>
    </row>
    <row r="185">
      <c r="A185" s="3" t="inlineStr">
        <is>
          <t>China|China University of Mining and Technology-Beijing</t>
        </is>
      </c>
      <c r="B185" s="3" t="inlineStr">
        <is>
          <t>China</t>
        </is>
      </c>
      <c r="C185" s="3" t="inlineStr">
        <is>
          <t>Пекин</t>
        </is>
      </c>
      <c r="D185" s="3" t="inlineStr">
        <is>
          <t>China University of Mining and Technology-Beijing</t>
        </is>
      </c>
      <c r="E185" s="3" t="inlineStr">
        <is>
          <t>中国矿业大学（北京）</t>
        </is>
      </c>
      <c r="F185" s="3" t="inlineStr">
        <is>
          <t>https://www.cumtb.edu.cn</t>
        </is>
      </c>
      <c r="G185" s="3" t="inlineStr"/>
      <c r="H185" s="3" t="inlineStr"/>
      <c r="I185" s="3" t="inlineStr">
        <is>
          <t>BCUR2026: 76</t>
        </is>
      </c>
      <c r="J185" s="4" t="inlineStr">
        <is>
          <t>не в рейтинге</t>
        </is>
      </c>
      <c r="K185" s="4" t="inlineStr">
        <is>
          <t>не в рейтинге</t>
        </is>
      </c>
      <c r="L185" s="4" t="inlineStr">
        <is>
          <t>нет в опубл. списке (опубликован только топ-15 страны)</t>
        </is>
      </c>
      <c r="M185" s="4" t="inlineStr">
        <is>
          <t>BCUR (ShanghaiRanking) 2026</t>
        </is>
      </c>
      <c r="N185" s="4" t="inlineStr">
        <is>
          <t>76</t>
        </is>
      </c>
      <c r="O185" s="4" t="inlineStr">
        <is>
          <t>https://www.shanghairanking.cn/rankings/bcur/2026</t>
        </is>
      </c>
      <c r="P185" s="4" t="n"/>
    </row>
    <row r="186">
      <c r="A186" s="3" t="inlineStr">
        <is>
          <t>China|China University of Petroleum (East China)</t>
        </is>
      </c>
      <c r="B186" s="3" t="inlineStr">
        <is>
          <t>China</t>
        </is>
      </c>
      <c r="C186" s="3" t="inlineStr">
        <is>
          <t>Циндао</t>
        </is>
      </c>
      <c r="D186" s="3" t="inlineStr">
        <is>
          <t>China University of Petroleum (East China)</t>
        </is>
      </c>
      <c r="E186" s="3" t="inlineStr">
        <is>
          <t>中国石油大学（华东）</t>
        </is>
      </c>
      <c r="F186" s="3" t="inlineStr">
        <is>
          <t>https://www.upc.edu.cn</t>
        </is>
      </c>
      <c r="G186" s="3" t="inlineStr"/>
      <c r="H186" s="3" t="inlineStr"/>
      <c r="I186" s="3" t="inlineStr">
        <is>
          <t>BCUR2026: 73</t>
        </is>
      </c>
      <c r="J186" s="4" t="inlineStr">
        <is>
          <t>не в рейтинге</t>
        </is>
      </c>
      <c r="K186" s="4" t="inlineStr">
        <is>
          <t>не в рейтинге</t>
        </is>
      </c>
      <c r="L186" s="4" t="inlineStr">
        <is>
          <t>нет в опубл. списке (опубликован только топ-15 страны)</t>
        </is>
      </c>
      <c r="M186" s="4" t="inlineStr">
        <is>
          <t>BCUR (ShanghaiRanking) 2026</t>
        </is>
      </c>
      <c r="N186" s="4" t="inlineStr">
        <is>
          <t>73</t>
        </is>
      </c>
      <c r="O186" s="4" t="inlineStr">
        <is>
          <t>https://www.shanghairanking.cn/rankings/bcur/2026</t>
        </is>
      </c>
      <c r="P186" s="4" t="n"/>
    </row>
    <row r="187">
      <c r="A187" s="3" t="inlineStr">
        <is>
          <t>China|China University of Petroleum, Beijing</t>
        </is>
      </c>
      <c r="B187" s="3" t="inlineStr">
        <is>
          <t>China</t>
        </is>
      </c>
      <c r="C187" s="3" t="inlineStr">
        <is>
          <t>Пекин</t>
        </is>
      </c>
      <c r="D187" s="3" t="inlineStr">
        <is>
          <t>China University of Petroleum, Beijing</t>
        </is>
      </c>
      <c r="E187" s="3" t="inlineStr">
        <is>
          <t>中国石油大学（北京）</t>
        </is>
      </c>
      <c r="F187" s="3" t="inlineStr">
        <is>
          <t>https://www.cup.edu.cn</t>
        </is>
      </c>
      <c r="G187" s="3" t="inlineStr">
        <is>
          <t>QS2027: 600</t>
        </is>
      </c>
      <c r="H187" s="3" t="inlineStr">
        <is>
          <t>THE2027: 501–550</t>
        </is>
      </c>
      <c r="I187" s="3" t="inlineStr">
        <is>
          <t>BCUR2026: 62</t>
        </is>
      </c>
      <c r="J187" s="4">
        <f>600</f>
        <v/>
      </c>
      <c r="K187" s="4" t="inlineStr">
        <is>
          <t>501–550</t>
        </is>
      </c>
      <c r="L187" s="4" t="inlineStr">
        <is>
          <t>нет в опубл. списке (опубликован только топ-15 страны)</t>
        </is>
      </c>
      <c r="M187" s="4" t="inlineStr">
        <is>
          <t>BCUR (ShanghaiRanking) 2026</t>
        </is>
      </c>
      <c r="N187" s="4" t="inlineStr">
        <is>
          <t>62</t>
        </is>
      </c>
      <c r="O187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87" s="4" t="n"/>
    </row>
    <row r="188">
      <c r="A188" s="3" t="inlineStr">
        <is>
          <t>China|Chongqing University</t>
        </is>
      </c>
      <c r="B188" s="3" t="inlineStr">
        <is>
          <t>China</t>
        </is>
      </c>
      <c r="C188" s="3" t="inlineStr">
        <is>
          <t>Чунцин</t>
        </is>
      </c>
      <c r="D188" s="3" t="inlineStr">
        <is>
          <t>Chongqing University</t>
        </is>
      </c>
      <c r="E188" s="3" t="inlineStr">
        <is>
          <t>重庆大学</t>
        </is>
      </c>
      <c r="F188" s="3" t="inlineStr">
        <is>
          <t>https://www.cqu.edu.cn</t>
        </is>
      </c>
      <c r="G188" s="3" t="inlineStr">
        <is>
          <t>QS2027: 465</t>
        </is>
      </c>
      <c r="H188" s="3" t="inlineStr">
        <is>
          <t>THE2027: 376-400</t>
        </is>
      </c>
      <c r="I188" s="3" t="inlineStr">
        <is>
          <t>BCUR2026: 34</t>
        </is>
      </c>
      <c r="J188" s="4">
        <f>465</f>
        <v/>
      </c>
      <c r="K188" s="4" t="inlineStr">
        <is>
          <t>376–400</t>
        </is>
      </c>
      <c r="L188" s="4" t="inlineStr">
        <is>
          <t>нет в опубл. списке (опубликован только топ-15 страны)</t>
        </is>
      </c>
      <c r="M188" s="4" t="inlineStr">
        <is>
          <t>BCUR (ShanghaiRanking) 2026</t>
        </is>
      </c>
      <c r="N188" s="4" t="inlineStr">
        <is>
          <t>34</t>
        </is>
      </c>
      <c r="O188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88" s="4" t="n"/>
    </row>
    <row r="189">
      <c r="A189" s="3" t="inlineStr">
        <is>
          <t>China|Chongqing University of Posts and Telecommunications</t>
        </is>
      </c>
      <c r="B189" s="3" t="inlineStr">
        <is>
          <t>China</t>
        </is>
      </c>
      <c r="C189" s="3" t="inlineStr">
        <is>
          <t>Чунцин</t>
        </is>
      </c>
      <c r="D189" s="3" t="inlineStr">
        <is>
          <t>Chongqing University of Posts and Telecommunications</t>
        </is>
      </c>
      <c r="E189" s="3" t="inlineStr">
        <is>
          <t>重庆邮电大学</t>
        </is>
      </c>
      <c r="F189" s="3" t="inlineStr">
        <is>
          <t>https://www.cqupt.edu.cn</t>
        </is>
      </c>
      <c r="G189" s="3" t="inlineStr"/>
      <c r="H189" s="3" t="inlineStr"/>
      <c r="I189" s="3" t="inlineStr">
        <is>
          <t>BCUR2026: 147</t>
        </is>
      </c>
      <c r="J189" s="4" t="inlineStr">
        <is>
          <t>не в рейтинге</t>
        </is>
      </c>
      <c r="K189" s="4" t="inlineStr">
        <is>
          <t>не в рейтинге</t>
        </is>
      </c>
      <c r="L189" s="4" t="inlineStr">
        <is>
          <t>нет в опубл. списке (опубликован только топ-15 страны)</t>
        </is>
      </c>
      <c r="M189" s="4" t="inlineStr">
        <is>
          <t>BCUR (ShanghaiRanking) 2026</t>
        </is>
      </c>
      <c r="N189" s="4" t="inlineStr">
        <is>
          <t>147</t>
        </is>
      </c>
      <c r="O189" s="4" t="inlineStr">
        <is>
          <t>https://www.shanghairanking.cn/rankings/bcur/2026</t>
        </is>
      </c>
      <c r="P189" s="4" t="n"/>
    </row>
    <row r="190">
      <c r="A190" s="3" t="inlineStr">
        <is>
          <t>China|Civil Aviation University of China</t>
        </is>
      </c>
      <c r="B190" s="3" t="inlineStr">
        <is>
          <t>China</t>
        </is>
      </c>
      <c r="C190" s="3" t="inlineStr">
        <is>
          <t>Тяньцзинь</t>
        </is>
      </c>
      <c r="D190" s="3" t="inlineStr">
        <is>
          <t>Civil Aviation University of China</t>
        </is>
      </c>
      <c r="E190" s="3" t="inlineStr">
        <is>
          <t>中国民航大学</t>
        </is>
      </c>
      <c r="F190" s="3" t="inlineStr">
        <is>
          <t>https://www.cauc.edu.cn</t>
        </is>
      </c>
      <c r="G190" s="3" t="inlineStr"/>
      <c r="H190" s="3" t="inlineStr">
        <is>
          <t>THE2027: 2001+</t>
        </is>
      </c>
      <c r="I190" s="3" t="inlineStr">
        <is>
          <t>BCUR2026: 226</t>
        </is>
      </c>
      <c r="J190" s="4" t="inlineStr">
        <is>
          <t>не в рейтинге</t>
        </is>
      </c>
      <c r="K190" s="4" t="inlineStr">
        <is>
          <t>2001+</t>
        </is>
      </c>
      <c r="L190" s="4" t="inlineStr">
        <is>
          <t>нет в опубл. списке (опубликован только топ-15 страны)</t>
        </is>
      </c>
      <c r="M190" s="4" t="inlineStr">
        <is>
          <t>BCUR (ShanghaiRanking) 2026</t>
        </is>
      </c>
      <c r="N190" s="4" t="inlineStr">
        <is>
          <t>226</t>
        </is>
      </c>
      <c r="O190" s="4" t="inlineStr">
        <is>
          <t>https://www.timeshighereducation.com/world-university-rankings/2027/world-ranking
https://www.shanghairanking.cn/rankings/bcur/2026</t>
        </is>
      </c>
      <c r="P190" s="4" t="n"/>
    </row>
    <row r="191">
      <c r="A191" s="3" t="inlineStr">
        <is>
          <t>China|Dalian Maritime University</t>
        </is>
      </c>
      <c r="B191" s="3" t="inlineStr">
        <is>
          <t>China</t>
        </is>
      </c>
      <c r="C191" s="3" t="inlineStr">
        <is>
          <t>Далянь</t>
        </is>
      </c>
      <c r="D191" s="3" t="inlineStr">
        <is>
          <t>Dalian Maritime University</t>
        </is>
      </c>
      <c r="E191" s="3" t="inlineStr">
        <is>
          <t>大连海事大学</t>
        </is>
      </c>
      <c r="F191" s="3" t="inlineStr">
        <is>
          <t>https://www.dlmu.edu.cn</t>
        </is>
      </c>
      <c r="G191" s="3" t="inlineStr"/>
      <c r="H191" s="3" t="inlineStr"/>
      <c r="I191" s="3" t="inlineStr">
        <is>
          <t>BCUR2026: 113</t>
        </is>
      </c>
      <c r="J191" s="4" t="inlineStr">
        <is>
          <t>не в рейтинге</t>
        </is>
      </c>
      <c r="K191" s="4" t="inlineStr">
        <is>
          <t>не в рейтинге</t>
        </is>
      </c>
      <c r="L191" s="4" t="inlineStr">
        <is>
          <t>нет в опубл. списке (опубликован только топ-15 страны)</t>
        </is>
      </c>
      <c r="M191" s="4" t="inlineStr">
        <is>
          <t>BCUR (ShanghaiRanking) 2026</t>
        </is>
      </c>
      <c r="N191" s="4" t="inlineStr">
        <is>
          <t>113</t>
        </is>
      </c>
      <c r="O191" s="4" t="inlineStr">
        <is>
          <t>https://www.shanghairanking.cn/rankings/bcur/2026</t>
        </is>
      </c>
      <c r="P191" s="4" t="n"/>
    </row>
    <row r="192">
      <c r="A192" s="3" t="inlineStr">
        <is>
          <t>China|Dalian University of Technology</t>
        </is>
      </c>
      <c r="B192" s="3" t="inlineStr">
        <is>
          <t>China</t>
        </is>
      </c>
      <c r="C192" s="3" t="inlineStr">
        <is>
          <t>Далянь</t>
        </is>
      </c>
      <c r="D192" s="3" t="inlineStr">
        <is>
          <t>Dalian University of Technology</t>
        </is>
      </c>
      <c r="E192" s="3" t="inlineStr">
        <is>
          <t>大连理工大学</t>
        </is>
      </c>
      <c r="F192" s="3" t="inlineStr">
        <is>
          <t>https://www.dlut.edu.cn</t>
        </is>
      </c>
      <c r="G192" s="3" t="inlineStr">
        <is>
          <t>QS2027: 463</t>
        </is>
      </c>
      <c r="H192" s="3" t="inlineStr">
        <is>
          <t>THE2027: 326–350</t>
        </is>
      </c>
      <c r="I192" s="3" t="inlineStr">
        <is>
          <t>BCUR2026: 28</t>
        </is>
      </c>
      <c r="J192" s="4">
        <f>463</f>
        <v/>
      </c>
      <c r="K192" s="4" t="inlineStr">
        <is>
          <t>326–350</t>
        </is>
      </c>
      <c r="L192" s="4" t="inlineStr">
        <is>
          <t>нет в опубл. списке (опубликован только топ-15 страны)</t>
        </is>
      </c>
      <c r="M192" s="4" t="inlineStr">
        <is>
          <t>BCUR (ShanghaiRanking) 2026</t>
        </is>
      </c>
      <c r="N192" s="4" t="inlineStr">
        <is>
          <t>28</t>
        </is>
      </c>
      <c r="O192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92" s="4" t="n"/>
    </row>
    <row r="193">
      <c r="A193" s="3" t="inlineStr">
        <is>
          <t>China|Donghua University</t>
        </is>
      </c>
      <c r="B193" s="3" t="inlineStr">
        <is>
          <t>China</t>
        </is>
      </c>
      <c r="C193" s="3" t="inlineStr">
        <is>
          <t>Шанхай</t>
        </is>
      </c>
      <c r="D193" s="3" t="inlineStr">
        <is>
          <t>Donghua University</t>
        </is>
      </c>
      <c r="E193" s="3" t="inlineStr">
        <is>
          <t>东华大学</t>
        </is>
      </c>
      <c r="F193" s="3" t="inlineStr">
        <is>
          <t>https://www.dhu.edu.cn</t>
        </is>
      </c>
      <c r="G193" s="3" t="inlineStr">
        <is>
          <t>QS2027: 851-900</t>
        </is>
      </c>
      <c r="H193" s="3" t="inlineStr">
        <is>
          <t>THE2027: 451–500</t>
        </is>
      </c>
      <c r="I193" s="3" t="inlineStr">
        <is>
          <t>BCUR2026: 72</t>
        </is>
      </c>
      <c r="J193" s="4" t="inlineStr">
        <is>
          <t>851–900</t>
        </is>
      </c>
      <c r="K193" s="4" t="inlineStr">
        <is>
          <t>451–500</t>
        </is>
      </c>
      <c r="L193" s="4" t="inlineStr">
        <is>
          <t>нет в опубл. списке (опубликован только топ-15 страны)</t>
        </is>
      </c>
      <c r="M193" s="4" t="inlineStr">
        <is>
          <t>BCUR (ShanghaiRanking) 2026</t>
        </is>
      </c>
      <c r="N193" s="4" t="inlineStr">
        <is>
          <t>72</t>
        </is>
      </c>
      <c r="O193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93" s="4" t="n"/>
    </row>
    <row r="194">
      <c r="A194" s="3" t="inlineStr">
        <is>
          <t>China|East China Normal University</t>
        </is>
      </c>
      <c r="B194" s="3" t="inlineStr">
        <is>
          <t>China</t>
        </is>
      </c>
      <c r="C194" s="3" t="inlineStr">
        <is>
          <t>Шанхай</t>
        </is>
      </c>
      <c r="D194" s="3" t="inlineStr">
        <is>
          <t>East China Normal University</t>
        </is>
      </c>
      <c r="E194" s="3" t="inlineStr">
        <is>
          <t>华东师范大学</t>
        </is>
      </c>
      <c r="F194" s="3" t="inlineStr">
        <is>
          <t>https://www.ecnu.edu.cn</t>
        </is>
      </c>
      <c r="G194" s="3" t="inlineStr">
        <is>
          <t>QS2027: 394</t>
        </is>
      </c>
      <c r="H194" s="3" t="inlineStr">
        <is>
          <t>THE2027: =242</t>
        </is>
      </c>
      <c r="I194" s="3" t="inlineStr">
        <is>
          <t>BCUR2026: 29</t>
        </is>
      </c>
      <c r="J194" s="4" t="inlineStr">
        <is>
          <t>394</t>
        </is>
      </c>
      <c r="K194" s="4">
        <f>242</f>
        <v/>
      </c>
      <c r="L194" s="4" t="inlineStr">
        <is>
          <t>нет в опубл. списке (опубликован только топ-15 страны)</t>
        </is>
      </c>
      <c r="M194" s="4" t="inlineStr">
        <is>
          <t>BCUR (ShanghaiRanking) 2026</t>
        </is>
      </c>
      <c r="N194" s="4" t="inlineStr">
        <is>
          <t>29</t>
        </is>
      </c>
      <c r="O194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94" s="4" t="n"/>
    </row>
    <row r="195">
      <c r="A195" s="3" t="inlineStr">
        <is>
          <t>China|East China University of Science and Technology</t>
        </is>
      </c>
      <c r="B195" s="3" t="inlineStr">
        <is>
          <t>China</t>
        </is>
      </c>
      <c r="C195" s="3" t="inlineStr">
        <is>
          <t>Шанхай</t>
        </is>
      </c>
      <c r="D195" s="3" t="inlineStr">
        <is>
          <t>East China University of Science and Technology</t>
        </is>
      </c>
      <c r="E195" s="3" t="inlineStr">
        <is>
          <t>华东理工大学</t>
        </is>
      </c>
      <c r="F195" s="3" t="inlineStr">
        <is>
          <t>https://www.ecust.edu.cn</t>
        </is>
      </c>
      <c r="G195" s="3" t="inlineStr">
        <is>
          <t>QS2027: 670</t>
        </is>
      </c>
      <c r="H195" s="3" t="inlineStr">
        <is>
          <t>THE2027: 551–600</t>
        </is>
      </c>
      <c r="I195" s="3" t="inlineStr">
        <is>
          <t>BCUR2026: 42</t>
        </is>
      </c>
      <c r="J195" s="4">
        <f>670</f>
        <v/>
      </c>
      <c r="K195" s="4" t="inlineStr">
        <is>
          <t>551–600</t>
        </is>
      </c>
      <c r="L195" s="4" t="inlineStr">
        <is>
          <t>нет в опубл. списке (опубликован только топ-15 страны)</t>
        </is>
      </c>
      <c r="M195" s="4" t="inlineStr">
        <is>
          <t>BCUR (ShanghaiRanking) 2026</t>
        </is>
      </c>
      <c r="N195" s="4" t="inlineStr">
        <is>
          <t>42</t>
        </is>
      </c>
      <c r="O195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195" s="4" t="n"/>
    </row>
    <row r="196">
      <c r="A196" s="3" t="inlineStr">
        <is>
          <t>China|Fudan University</t>
        </is>
      </c>
      <c r="B196" s="3" t="inlineStr">
        <is>
          <t>China</t>
        </is>
      </c>
      <c r="C196" s="3" t="inlineStr">
        <is>
          <t>Шанхай</t>
        </is>
      </c>
      <c r="D196" s="3" t="inlineStr">
        <is>
          <t>Fudan University</t>
        </is>
      </c>
      <c r="E196" s="3" t="inlineStr">
        <is>
          <t>复旦大学</t>
        </is>
      </c>
      <c r="F196" s="3" t="inlineStr">
        <is>
          <t>https://www.fudan.edu.cn/en</t>
        </is>
      </c>
      <c r="G196" s="3" t="inlineStr">
        <is>
          <t>QS2027: 26</t>
        </is>
      </c>
      <c r="H196" s="3" t="inlineStr">
        <is>
          <t>THE2027: 38</t>
        </is>
      </c>
      <c r="I196" s="3" t="inlineStr">
        <is>
          <t>BCUR2026: 5</t>
        </is>
      </c>
      <c r="J196" s="4" t="inlineStr">
        <is>
          <t>26</t>
        </is>
      </c>
      <c r="K196" s="4" t="inlineStr">
        <is>
          <t>38</t>
        </is>
      </c>
      <c r="L196" s="4" t="inlineStr">
        <is>
          <t>73</t>
        </is>
      </c>
      <c r="M196" s="4" t="inlineStr">
        <is>
          <t>BCUR (ShanghaiRanking) 2026</t>
        </is>
      </c>
      <c r="N196" s="4" t="inlineStr">
        <is>
          <t>5</t>
        </is>
      </c>
      <c r="O19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196" s="4" t="n"/>
    </row>
    <row r="197">
      <c r="A197" s="3" t="inlineStr">
        <is>
          <t>China|Fujian Agriculture and Forestry University</t>
        </is>
      </c>
      <c r="B197" s="3" t="inlineStr">
        <is>
          <t>China</t>
        </is>
      </c>
      <c r="C197" s="3" t="inlineStr">
        <is>
          <t>Фучжоу</t>
        </is>
      </c>
      <c r="D197" s="3" t="inlineStr">
        <is>
          <t>Fujian Agriculture and Forestry University</t>
        </is>
      </c>
      <c r="E197" s="3" t="inlineStr">
        <is>
          <t>福建农林大学</t>
        </is>
      </c>
      <c r="F197" s="3" t="inlineStr">
        <is>
          <t>https://www.fafu.edu.cn</t>
        </is>
      </c>
      <c r="G197" s="3" t="inlineStr"/>
      <c r="H197" s="3" t="inlineStr">
        <is>
          <t>THE2027: 1001–1200</t>
        </is>
      </c>
      <c r="I197" s="3" t="inlineStr">
        <is>
          <t>BCUR2026: 122</t>
        </is>
      </c>
      <c r="J197" s="4" t="inlineStr">
        <is>
          <t>не в рейтинге</t>
        </is>
      </c>
      <c r="K197" s="4" t="inlineStr">
        <is>
          <t>1001–1200</t>
        </is>
      </c>
      <c r="L197" s="4" t="inlineStr">
        <is>
          <t>нет в опубл. списке (опубликован только топ-15 страны)</t>
        </is>
      </c>
      <c r="M197" s="4" t="inlineStr">
        <is>
          <t>BCUR (ShanghaiRanking) 2026</t>
        </is>
      </c>
      <c r="N197" s="4" t="inlineStr">
        <is>
          <t>122</t>
        </is>
      </c>
      <c r="O197" s="4" t="inlineStr">
        <is>
          <t>https://www.timeshighereducation.com/world-university-rankings/2027/world-ranking
https://www.shanghairanking.cn/rankings/bcur/2026</t>
        </is>
      </c>
      <c r="P197" s="4" t="n"/>
    </row>
    <row r="198">
      <c r="A198" s="3" t="inlineStr">
        <is>
          <t>China|Fuzhou University</t>
        </is>
      </c>
      <c r="B198" s="3" t="inlineStr">
        <is>
          <t>China</t>
        </is>
      </c>
      <c r="C198" s="3" t="inlineStr">
        <is>
          <t>Фучжоу</t>
        </is>
      </c>
      <c r="D198" s="3" t="inlineStr">
        <is>
          <t>Fuzhou University</t>
        </is>
      </c>
      <c r="E198" s="3" t="inlineStr">
        <is>
          <t>福州大学</t>
        </is>
      </c>
      <c r="F198" s="3" t="inlineStr">
        <is>
          <t>https://www.fzu.edu.cn</t>
        </is>
      </c>
      <c r="G198" s="3" t="inlineStr"/>
      <c r="H198" s="3" t="inlineStr">
        <is>
          <t>THE2027: 701-800</t>
        </is>
      </c>
      <c r="I198" s="3" t="inlineStr">
        <is>
          <t>BCUR2026: 77</t>
        </is>
      </c>
      <c r="J198" s="4" t="inlineStr">
        <is>
          <t>не в рейтинге</t>
        </is>
      </c>
      <c r="K198" s="4" t="inlineStr">
        <is>
          <t>701–800</t>
        </is>
      </c>
      <c r="L198" s="4" t="inlineStr">
        <is>
          <t>нет в опубл. списке (опубликован только топ-15 страны)</t>
        </is>
      </c>
      <c r="M198" s="4" t="inlineStr">
        <is>
          <t>BCUR (ShanghaiRanking) 2026</t>
        </is>
      </c>
      <c r="N198" s="4" t="inlineStr">
        <is>
          <t>77</t>
        </is>
      </c>
      <c r="O198" s="4" t="inlineStr">
        <is>
          <t>https://www.timeshighereducation.com/world-university-rankings/2027/world-ranking
https://www.shanghairanking.cn/rankings/bcur/2026</t>
        </is>
      </c>
      <c r="P198" s="4" t="n"/>
    </row>
    <row r="199">
      <c r="A199" s="3" t="inlineStr">
        <is>
          <t>China|Guangdong Ocean University</t>
        </is>
      </c>
      <c r="B199" s="3" t="inlineStr">
        <is>
          <t>China</t>
        </is>
      </c>
      <c r="C199" s="3" t="inlineStr">
        <is>
          <t>Чжаньцзян</t>
        </is>
      </c>
      <c r="D199" s="3" t="inlineStr">
        <is>
          <t>Guangdong Ocean University</t>
        </is>
      </c>
      <c r="E199" s="3" t="inlineStr">
        <is>
          <t>广东海洋大学</t>
        </is>
      </c>
      <c r="F199" s="3" t="inlineStr">
        <is>
          <t>https://www.gdou.edu.cn</t>
        </is>
      </c>
      <c r="G199" s="3" t="inlineStr"/>
      <c r="H199" s="3" t="inlineStr"/>
      <c r="I199" s="3" t="inlineStr">
        <is>
          <t>BCUR2026: 298</t>
        </is>
      </c>
      <c r="J199" s="4" t="inlineStr">
        <is>
          <t>не в рейтинге</t>
        </is>
      </c>
      <c r="K199" s="4" t="inlineStr">
        <is>
          <t>не в рейтинге</t>
        </is>
      </c>
      <c r="L199" s="4" t="inlineStr">
        <is>
          <t>нет в опубл. списке (опубликован только топ-15 страны)</t>
        </is>
      </c>
      <c r="M199" s="4" t="inlineStr">
        <is>
          <t>BCUR (ShanghaiRanking) 2026</t>
        </is>
      </c>
      <c r="N199" s="4" t="inlineStr">
        <is>
          <t>298</t>
        </is>
      </c>
      <c r="O199" s="4" t="inlineStr">
        <is>
          <t>https://www.shanghairanking.cn/rankings/bcur/2026</t>
        </is>
      </c>
      <c r="P199" s="4" t="n"/>
    </row>
    <row r="200">
      <c r="A200" s="3" t="inlineStr">
        <is>
          <t>China|Guangdong University of Technology</t>
        </is>
      </c>
      <c r="B200" s="3" t="inlineStr">
        <is>
          <t>China</t>
        </is>
      </c>
      <c r="C200" s="3" t="inlineStr">
        <is>
          <t>Гуанчжоу</t>
        </is>
      </c>
      <c r="D200" s="3" t="inlineStr">
        <is>
          <t>Guangdong University of Technology</t>
        </is>
      </c>
      <c r="E200" s="3" t="inlineStr">
        <is>
          <t>广东工业大学</t>
        </is>
      </c>
      <c r="F200" s="3" t="inlineStr">
        <is>
          <t>https://www.gdut.edu.cn</t>
        </is>
      </c>
      <c r="G200" s="3" t="inlineStr">
        <is>
          <t>QS2027: 1001-1200</t>
        </is>
      </c>
      <c r="H200" s="3" t="inlineStr">
        <is>
          <t>THE2027: 701-800</t>
        </is>
      </c>
      <c r="I200" s="3" t="inlineStr">
        <is>
          <t>BCUR2026: 96</t>
        </is>
      </c>
      <c r="J200" s="4" t="inlineStr">
        <is>
          <t>1001–1200</t>
        </is>
      </c>
      <c r="K200" s="4" t="inlineStr">
        <is>
          <t>701–800</t>
        </is>
      </c>
      <c r="L200" s="4" t="inlineStr">
        <is>
          <t>нет в опубл. списке (опубликован только топ-15 страны)</t>
        </is>
      </c>
      <c r="M200" s="4" t="inlineStr">
        <is>
          <t>BCUR (ShanghaiRanking) 2026</t>
        </is>
      </c>
      <c r="N200" s="4" t="inlineStr">
        <is>
          <t>96</t>
        </is>
      </c>
      <c r="O20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00" s="4" t="n"/>
    </row>
    <row r="201">
      <c r="A201" s="3" t="inlineStr">
        <is>
          <t>China|Guangxi Normal University</t>
        </is>
      </c>
      <c r="B201" s="3" t="inlineStr">
        <is>
          <t>China</t>
        </is>
      </c>
      <c r="C201" s="3" t="inlineStr">
        <is>
          <t>Гуйлинь</t>
        </is>
      </c>
      <c r="D201" s="3" t="inlineStr">
        <is>
          <t>Guangxi Normal University</t>
        </is>
      </c>
      <c r="E201" s="3" t="inlineStr">
        <is>
          <t>广西师范大学</t>
        </is>
      </c>
      <c r="F201" s="3" t="inlineStr">
        <is>
          <t>https://www.gxnu.edu.cn</t>
        </is>
      </c>
      <c r="G201" s="3" t="inlineStr"/>
      <c r="H201" s="3" t="inlineStr"/>
      <c r="I201" s="3" t="inlineStr">
        <is>
          <t>BCUR2026: 149</t>
        </is>
      </c>
      <c r="J201" s="4" t="inlineStr">
        <is>
          <t>не в рейтинге</t>
        </is>
      </c>
      <c r="K201" s="4" t="inlineStr">
        <is>
          <t>не в рейтинге</t>
        </is>
      </c>
      <c r="L201" s="4" t="inlineStr">
        <is>
          <t>нет в опубл. списке (опубликован только топ-15 страны)</t>
        </is>
      </c>
      <c r="M201" s="4" t="inlineStr">
        <is>
          <t>BCUR (ShanghaiRanking) 2026</t>
        </is>
      </c>
      <c r="N201" s="4" t="inlineStr">
        <is>
          <t>149</t>
        </is>
      </c>
      <c r="O201" s="4" t="inlineStr">
        <is>
          <t>https://www.shanghairanking.cn/rankings/bcur/2026</t>
        </is>
      </c>
      <c r="P201" s="4" t="n"/>
    </row>
    <row r="202">
      <c r="A202" s="3" t="inlineStr">
        <is>
          <t>China|Guangxi University</t>
        </is>
      </c>
      <c r="B202" s="3" t="inlineStr">
        <is>
          <t>China</t>
        </is>
      </c>
      <c r="C202" s="3" t="inlineStr">
        <is>
          <t>Наньнин</t>
        </is>
      </c>
      <c r="D202" s="3" t="inlineStr">
        <is>
          <t>Guangxi University</t>
        </is>
      </c>
      <c r="E202" s="3" t="inlineStr">
        <is>
          <t>广西大学</t>
        </is>
      </c>
      <c r="F202" s="3" t="inlineStr">
        <is>
          <t>https://www.gxu.edu.cn</t>
        </is>
      </c>
      <c r="G202" s="3" t="inlineStr"/>
      <c r="H202" s="3" t="inlineStr"/>
      <c r="I202" s="3" t="inlineStr">
        <is>
          <t>BCUR2026: 86</t>
        </is>
      </c>
      <c r="J202" s="4" t="inlineStr">
        <is>
          <t>не в рейтинге</t>
        </is>
      </c>
      <c r="K202" s="4" t="inlineStr">
        <is>
          <t>не в рейтинге</t>
        </is>
      </c>
      <c r="L202" s="4" t="inlineStr">
        <is>
          <t>нет в опубл. списке (опубликован только топ-15 страны)</t>
        </is>
      </c>
      <c r="M202" s="4" t="inlineStr">
        <is>
          <t>BCUR (ShanghaiRanking) 2026</t>
        </is>
      </c>
      <c r="N202" s="4" t="inlineStr">
        <is>
          <t>86</t>
        </is>
      </c>
      <c r="O202" s="4" t="inlineStr">
        <is>
          <t>https://www.shanghairanking.cn/rankings/bcur/2026</t>
        </is>
      </c>
      <c r="P202" s="4" t="n"/>
    </row>
    <row r="203">
      <c r="A203" s="3" t="inlineStr">
        <is>
          <t>China|Guangzhou University</t>
        </is>
      </c>
      <c r="B203" s="3" t="inlineStr">
        <is>
          <t>China</t>
        </is>
      </c>
      <c r="C203" s="3" t="inlineStr">
        <is>
          <t>Гуанчжоу</t>
        </is>
      </c>
      <c r="D203" s="3" t="inlineStr">
        <is>
          <t>Guangzhou University</t>
        </is>
      </c>
      <c r="E203" s="3" t="inlineStr">
        <is>
          <t>广州大学</t>
        </is>
      </c>
      <c r="F203" s="3" t="inlineStr">
        <is>
          <t>https://www.gzhu.edu.cn</t>
        </is>
      </c>
      <c r="G203" s="3" t="inlineStr"/>
      <c r="H203" s="3" t="inlineStr"/>
      <c r="I203" s="3" t="inlineStr">
        <is>
          <t>BCUR2026: 105</t>
        </is>
      </c>
      <c r="J203" s="4" t="inlineStr">
        <is>
          <t>не в рейтинге</t>
        </is>
      </c>
      <c r="K203" s="4" t="inlineStr">
        <is>
          <t>не в рейтинге</t>
        </is>
      </c>
      <c r="L203" s="4" t="inlineStr">
        <is>
          <t>нет в опубл. списке (опубликован только топ-15 страны)</t>
        </is>
      </c>
      <c r="M203" s="4" t="inlineStr">
        <is>
          <t>BCUR (ShanghaiRanking) 2026</t>
        </is>
      </c>
      <c r="N203" s="4" t="inlineStr">
        <is>
          <t>105</t>
        </is>
      </c>
      <c r="O203" s="4" t="inlineStr">
        <is>
          <t>https://www.shanghairanking.cn/rankings/bcur/2026</t>
        </is>
      </c>
      <c r="P203" s="4" t="n"/>
    </row>
    <row r="204">
      <c r="A204" s="3" t="inlineStr">
        <is>
          <t>China|Guilin University of Electronic Technology</t>
        </is>
      </c>
      <c r="B204" s="3" t="inlineStr">
        <is>
          <t>China</t>
        </is>
      </c>
      <c r="C204" s="3" t="inlineStr">
        <is>
          <t>Гуйлинь</t>
        </is>
      </c>
      <c r="D204" s="3" t="inlineStr">
        <is>
          <t>Guilin University of Electronic Technology</t>
        </is>
      </c>
      <c r="E204" s="3" t="inlineStr">
        <is>
          <t>桂林电子科技大学</t>
        </is>
      </c>
      <c r="F204" s="3" t="inlineStr">
        <is>
          <t>https://www.guet.edu.cn</t>
        </is>
      </c>
      <c r="G204" s="3" t="inlineStr"/>
      <c r="H204" s="3" t="inlineStr"/>
      <c r="I204" s="3" t="inlineStr">
        <is>
          <t>BCUR2026: 183</t>
        </is>
      </c>
      <c r="J204" s="4" t="inlineStr">
        <is>
          <t>не в рейтинге</t>
        </is>
      </c>
      <c r="K204" s="4" t="inlineStr">
        <is>
          <t>не в рейтинге</t>
        </is>
      </c>
      <c r="L204" s="4" t="inlineStr">
        <is>
          <t>нет в опубл. списке (опубликован только топ-15 страны)</t>
        </is>
      </c>
      <c r="M204" s="4" t="inlineStr">
        <is>
          <t>BCUR (ShanghaiRanking) 2026</t>
        </is>
      </c>
      <c r="N204" s="4" t="inlineStr">
        <is>
          <t>183</t>
        </is>
      </c>
      <c r="O204" s="4" t="inlineStr">
        <is>
          <t>https://www.shanghairanking.cn/rankings/bcur/2026</t>
        </is>
      </c>
      <c r="P204" s="4" t="n"/>
    </row>
    <row r="205">
      <c r="A205" s="3" t="inlineStr">
        <is>
          <t>China|Guizhou University</t>
        </is>
      </c>
      <c r="B205" s="3" t="inlineStr">
        <is>
          <t>China</t>
        </is>
      </c>
      <c r="C205" s="3" t="inlineStr">
        <is>
          <t>Гуйян</t>
        </is>
      </c>
      <c r="D205" s="3" t="inlineStr">
        <is>
          <t>Guizhou University</t>
        </is>
      </c>
      <c r="E205" s="3" t="inlineStr">
        <is>
          <t>贵州大学</t>
        </is>
      </c>
      <c r="F205" s="3" t="inlineStr">
        <is>
          <t>https://www.gzu.edu.cn</t>
        </is>
      </c>
      <c r="G205" s="3" t="inlineStr"/>
      <c r="H205" s="3" t="inlineStr"/>
      <c r="I205" s="3" t="inlineStr">
        <is>
          <t>BCUR2026: 85</t>
        </is>
      </c>
      <c r="J205" s="4" t="inlineStr">
        <is>
          <t>не в рейтинге</t>
        </is>
      </c>
      <c r="K205" s="4" t="inlineStr">
        <is>
          <t>не в рейтинге</t>
        </is>
      </c>
      <c r="L205" s="4" t="inlineStr">
        <is>
          <t>нет в опубл. списке (опубликован только топ-15 страны)</t>
        </is>
      </c>
      <c r="M205" s="4" t="inlineStr">
        <is>
          <t>BCUR (ShanghaiRanking) 2026</t>
        </is>
      </c>
      <c r="N205" s="4" t="inlineStr">
        <is>
          <t>85</t>
        </is>
      </c>
      <c r="O205" s="4" t="inlineStr">
        <is>
          <t>https://www.shanghairanking.cn/rankings/bcur/2026</t>
        </is>
      </c>
      <c r="P205" s="4" t="n"/>
    </row>
    <row r="206">
      <c r="A206" s="3" t="inlineStr">
        <is>
          <t>China|Hainan University</t>
        </is>
      </c>
      <c r="B206" s="3" t="inlineStr">
        <is>
          <t>China</t>
        </is>
      </c>
      <c r="C206" s="3" t="inlineStr">
        <is>
          <t>Хайкоу</t>
        </is>
      </c>
      <c r="D206" s="3" t="inlineStr">
        <is>
          <t>Hainan University</t>
        </is>
      </c>
      <c r="E206" s="3" t="inlineStr">
        <is>
          <t>海南大学</t>
        </is>
      </c>
      <c r="F206" s="3" t="inlineStr">
        <is>
          <t>https://www.hainanu.edu.cn</t>
        </is>
      </c>
      <c r="G206" s="3" t="inlineStr"/>
      <c r="H206" s="3" t="inlineStr">
        <is>
          <t>THE2027: 801–1000</t>
        </is>
      </c>
      <c r="I206" s="3" t="inlineStr">
        <is>
          <t>BCUR2026: 87</t>
        </is>
      </c>
      <c r="J206" s="4" t="inlineStr">
        <is>
          <t>не в рейтинге</t>
        </is>
      </c>
      <c r="K206" s="4" t="inlineStr">
        <is>
          <t>801–1000</t>
        </is>
      </c>
      <c r="L206" s="4" t="inlineStr">
        <is>
          <t>нет в опубл. списке (опубликован только топ-15 страны)</t>
        </is>
      </c>
      <c r="M206" s="4" t="inlineStr">
        <is>
          <t>BCUR (ShanghaiRanking) 2026</t>
        </is>
      </c>
      <c r="N206" s="4" t="inlineStr">
        <is>
          <t>87</t>
        </is>
      </c>
      <c r="O206" s="4" t="inlineStr">
        <is>
          <t>https://www.timeshighereducation.com/world-university-rankings/2027/world-ranking
https://www.shanghairanking.cn/rankings/bcur/2026</t>
        </is>
      </c>
      <c r="P206" s="4" t="n"/>
    </row>
    <row r="207">
      <c r="A207" s="3" t="inlineStr">
        <is>
          <t>China|Hangzhou Dianzi University</t>
        </is>
      </c>
      <c r="B207" s="3" t="inlineStr">
        <is>
          <t>China</t>
        </is>
      </c>
      <c r="C207" s="3" t="inlineStr">
        <is>
          <t>Ханчжоу</t>
        </is>
      </c>
      <c r="D207" s="3" t="inlineStr">
        <is>
          <t>Hangzhou Dianzi University</t>
        </is>
      </c>
      <c r="E207" s="3" t="inlineStr">
        <is>
          <t>杭州电子科技大学</t>
        </is>
      </c>
      <c r="F207" s="3" t="inlineStr">
        <is>
          <t>https://www.hdu.edu.cn</t>
        </is>
      </c>
      <c r="G207" s="3" t="inlineStr"/>
      <c r="H207" s="3" t="inlineStr">
        <is>
          <t>THE2027: 1001–1200</t>
        </is>
      </c>
      <c r="I207" s="3" t="inlineStr">
        <is>
          <t>BCUR2026: 99</t>
        </is>
      </c>
      <c r="J207" s="4" t="inlineStr">
        <is>
          <t>не в рейтинге</t>
        </is>
      </c>
      <c r="K207" s="4" t="inlineStr">
        <is>
          <t>1001–1200</t>
        </is>
      </c>
      <c r="L207" s="4" t="inlineStr">
        <is>
          <t>нет в опубл. списке (опубликован только топ-15 страны)</t>
        </is>
      </c>
      <c r="M207" s="4" t="inlineStr">
        <is>
          <t>BCUR (ShanghaiRanking) 2026</t>
        </is>
      </c>
      <c r="N207" s="4" t="inlineStr">
        <is>
          <t>99</t>
        </is>
      </c>
      <c r="O207" s="4" t="inlineStr">
        <is>
          <t>https://www.timeshighereducation.com/world-university-rankings/2027/world-ranking
https://www.shanghairanking.cn/rankings/bcur/2026</t>
        </is>
      </c>
      <c r="P207" s="4" t="n"/>
    </row>
    <row r="208">
      <c r="A208" s="3" t="inlineStr">
        <is>
          <t>China|Hangzhou Normal University</t>
        </is>
      </c>
      <c r="B208" s="3" t="inlineStr">
        <is>
          <t>China</t>
        </is>
      </c>
      <c r="C208" s="3" t="inlineStr">
        <is>
          <t>Ханчжоу</t>
        </is>
      </c>
      <c r="D208" s="3" t="inlineStr">
        <is>
          <t>Hangzhou Normal University</t>
        </is>
      </c>
      <c r="E208" s="3" t="inlineStr">
        <is>
          <t>杭州师范大学</t>
        </is>
      </c>
      <c r="F208" s="3" t="inlineStr">
        <is>
          <t>https://www.hznu.edu.cn</t>
        </is>
      </c>
      <c r="G208" s="3" t="inlineStr"/>
      <c r="H208" s="3" t="inlineStr">
        <is>
          <t>THE2027: 1001-1200</t>
        </is>
      </c>
      <c r="I208" s="3" t="inlineStr">
        <is>
          <t>BCUR2026: 116</t>
        </is>
      </c>
      <c r="J208" s="4" t="inlineStr">
        <is>
          <t>не в рейтинге</t>
        </is>
      </c>
      <c r="K208" s="4" t="inlineStr">
        <is>
          <t>1001–1200</t>
        </is>
      </c>
      <c r="L208" s="4" t="inlineStr">
        <is>
          <t>нет в опубл. списке (опубликован только топ-15 страны)</t>
        </is>
      </c>
      <c r="M208" s="4" t="inlineStr">
        <is>
          <t>BCUR (ShanghaiRanking) 2026</t>
        </is>
      </c>
      <c r="N208" s="4" t="inlineStr">
        <is>
          <t>116</t>
        </is>
      </c>
      <c r="O208" s="4" t="inlineStr">
        <is>
          <t>https://www.timeshighereducation.com/world-university-rankings/2027/world-ranking
https://www.shanghairanking.cn/rankings/bcur/2026</t>
        </is>
      </c>
      <c r="P208" s="4" t="n"/>
    </row>
    <row r="209">
      <c r="A209" s="3" t="inlineStr">
        <is>
          <t>China|Harbin Engineering University</t>
        </is>
      </c>
      <c r="B209" s="3" t="inlineStr">
        <is>
          <t>China</t>
        </is>
      </c>
      <c r="C209" s="3" t="inlineStr">
        <is>
          <t>Харбин</t>
        </is>
      </c>
      <c r="D209" s="3" t="inlineStr">
        <is>
          <t>Harbin Engineering University</t>
        </is>
      </c>
      <c r="E209" s="3" t="inlineStr">
        <is>
          <t>哈尔滨工程大学</t>
        </is>
      </c>
      <c r="F209" s="3" t="inlineStr">
        <is>
          <t>https://www.hrbeu.edu.cn</t>
        </is>
      </c>
      <c r="G209" s="3" t="inlineStr">
        <is>
          <t>QS2027: 1001-1200</t>
        </is>
      </c>
      <c r="H209" s="3" t="inlineStr">
        <is>
          <t>THE2027: 651-700</t>
        </is>
      </c>
      <c r="I209" s="3" t="inlineStr">
        <is>
          <t>BCUR2026: 43</t>
        </is>
      </c>
      <c r="J209" s="4" t="inlineStr">
        <is>
          <t>1001–1200</t>
        </is>
      </c>
      <c r="K209" s="4" t="inlineStr">
        <is>
          <t>651–700</t>
        </is>
      </c>
      <c r="L209" s="4" t="inlineStr">
        <is>
          <t>нет в опубл. списке (опубликован только топ-15 страны)</t>
        </is>
      </c>
      <c r="M209" s="4" t="inlineStr">
        <is>
          <t>BCUR (ShanghaiRanking) 2026</t>
        </is>
      </c>
      <c r="N209" s="4" t="inlineStr">
        <is>
          <t>43</t>
        </is>
      </c>
      <c r="O209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09" s="4" t="n"/>
    </row>
    <row r="210">
      <c r="A210" s="3" t="inlineStr">
        <is>
          <t>China|Harbin Institute of Technology</t>
        </is>
      </c>
      <c r="B210" s="3" t="inlineStr">
        <is>
          <t>China</t>
        </is>
      </c>
      <c r="C210" s="3" t="inlineStr">
        <is>
          <t>Харбин</t>
        </is>
      </c>
      <c r="D210" s="3" t="inlineStr">
        <is>
          <t>Harbin Institute of Technology</t>
        </is>
      </c>
      <c r="E210" s="3" t="inlineStr">
        <is>
          <t>哈尔滨工业大学</t>
        </is>
      </c>
      <c r="F210" s="3" t="inlineStr">
        <is>
          <t>https://www.hit.edu.cn</t>
        </is>
      </c>
      <c r="G210" s="3" t="inlineStr">
        <is>
          <t>QS2027: 190</t>
        </is>
      </c>
      <c r="H210" s="3" t="inlineStr">
        <is>
          <t>THE2027: 96</t>
        </is>
      </c>
      <c r="I210" s="3" t="inlineStr">
        <is>
          <t>BCUR2026: 12</t>
        </is>
      </c>
      <c r="J210" s="4" t="inlineStr">
        <is>
          <t>190</t>
        </is>
      </c>
      <c r="K210" s="4" t="inlineStr">
        <is>
          <t>96</t>
        </is>
      </c>
      <c r="L210" s="4" t="inlineStr">
        <is>
          <t>нет в опубл. списке (опубликован только топ-15 страны)</t>
        </is>
      </c>
      <c r="M210" s="4" t="inlineStr">
        <is>
          <t>BCUR (ShanghaiRanking) 2026</t>
        </is>
      </c>
      <c r="N210" s="4" t="inlineStr">
        <is>
          <t>12</t>
        </is>
      </c>
      <c r="O21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10" s="4" t="n"/>
    </row>
    <row r="211">
      <c r="A211" s="3" t="inlineStr">
        <is>
          <t>China|Hebei Normal University</t>
        </is>
      </c>
      <c r="B211" s="3" t="inlineStr">
        <is>
          <t>China</t>
        </is>
      </c>
      <c r="C211" s="3" t="inlineStr">
        <is>
          <t>Шицзячжуан</t>
        </is>
      </c>
      <c r="D211" s="3" t="inlineStr">
        <is>
          <t>Hebei Normal University</t>
        </is>
      </c>
      <c r="E211" s="3" t="inlineStr">
        <is>
          <t>河北师范大学</t>
        </is>
      </c>
      <c r="F211" s="3" t="inlineStr">
        <is>
          <t>https://www.hebtu.edu.cn</t>
        </is>
      </c>
      <c r="G211" s="3" t="inlineStr"/>
      <c r="H211" s="3" t="inlineStr"/>
      <c r="I211" s="3" t="inlineStr">
        <is>
          <t>BCUR2026: 177</t>
        </is>
      </c>
      <c r="J211" s="4" t="inlineStr">
        <is>
          <t>не в рейтинге</t>
        </is>
      </c>
      <c r="K211" s="4" t="inlineStr">
        <is>
          <t>не в рейтинге</t>
        </is>
      </c>
      <c r="L211" s="4" t="inlineStr">
        <is>
          <t>нет в опубл. списке (опубликован только топ-15 страны)</t>
        </is>
      </c>
      <c r="M211" s="4" t="inlineStr">
        <is>
          <t>BCUR (ShanghaiRanking) 2026</t>
        </is>
      </c>
      <c r="N211" s="4" t="inlineStr">
        <is>
          <t>177</t>
        </is>
      </c>
      <c r="O211" s="4" t="inlineStr">
        <is>
          <t>https://www.shanghairanking.cn/rankings/bcur/2026</t>
        </is>
      </c>
      <c r="P211" s="4" t="n"/>
    </row>
    <row r="212">
      <c r="A212" s="3" t="inlineStr">
        <is>
          <t>China|Hebei University</t>
        </is>
      </c>
      <c r="B212" s="3" t="inlineStr">
        <is>
          <t>China</t>
        </is>
      </c>
      <c r="C212" s="3" t="inlineStr">
        <is>
          <t>Баодин</t>
        </is>
      </c>
      <c r="D212" s="3" t="inlineStr">
        <is>
          <t>Hebei University</t>
        </is>
      </c>
      <c r="E212" s="3" t="inlineStr">
        <is>
          <t>河北大学</t>
        </is>
      </c>
      <c r="F212" s="3" t="inlineStr">
        <is>
          <t>https://www.hbu.edu.cn</t>
        </is>
      </c>
      <c r="G212" s="3" t="inlineStr"/>
      <c r="H212" s="3" t="inlineStr"/>
      <c r="I212" s="3" t="inlineStr">
        <is>
          <t>BCUR2026: 130</t>
        </is>
      </c>
      <c r="J212" s="4" t="inlineStr">
        <is>
          <t>не в рейтинге</t>
        </is>
      </c>
      <c r="K212" s="4" t="inlineStr">
        <is>
          <t>не в рейтинге</t>
        </is>
      </c>
      <c r="L212" s="4" t="inlineStr">
        <is>
          <t>нет в опубл. списке (опубликован только топ-15 страны)</t>
        </is>
      </c>
      <c r="M212" s="4" t="inlineStr">
        <is>
          <t>BCUR (ShanghaiRanking) 2026</t>
        </is>
      </c>
      <c r="N212" s="4" t="inlineStr">
        <is>
          <t>130</t>
        </is>
      </c>
      <c r="O212" s="4" t="inlineStr">
        <is>
          <t>https://www.shanghairanking.cn/rankings/bcur/2026</t>
        </is>
      </c>
      <c r="P212" s="4" t="n"/>
    </row>
    <row r="213">
      <c r="A213" s="3" t="inlineStr">
        <is>
          <t>China|Hebei University of Technology</t>
        </is>
      </c>
      <c r="B213" s="3" t="inlineStr">
        <is>
          <t>China</t>
        </is>
      </c>
      <c r="C213" s="3" t="inlineStr">
        <is>
          <t>Тяньцзинь</t>
        </is>
      </c>
      <c r="D213" s="3" t="inlineStr">
        <is>
          <t>Hebei University of Technology</t>
        </is>
      </c>
      <c r="E213" s="3" t="inlineStr">
        <is>
          <t>河北工业大学</t>
        </is>
      </c>
      <c r="F213" s="3" t="inlineStr">
        <is>
          <t>https://www.hebut.edu.cn</t>
        </is>
      </c>
      <c r="G213" s="3" t="inlineStr"/>
      <c r="H213" s="3" t="inlineStr"/>
      <c r="I213" s="3" t="inlineStr">
        <is>
          <t>BCUR2026: 107</t>
        </is>
      </c>
      <c r="J213" s="4" t="inlineStr">
        <is>
          <t>не в рейтинге</t>
        </is>
      </c>
      <c r="K213" s="4" t="inlineStr">
        <is>
          <t>не в рейтинге</t>
        </is>
      </c>
      <c r="L213" s="4" t="inlineStr">
        <is>
          <t>нет в опубл. списке (опубликован только топ-15 страны)</t>
        </is>
      </c>
      <c r="M213" s="4" t="inlineStr">
        <is>
          <t>BCUR (ShanghaiRanking) 2026</t>
        </is>
      </c>
      <c r="N213" s="4" t="inlineStr">
        <is>
          <t>107</t>
        </is>
      </c>
      <c r="O213" s="4" t="inlineStr">
        <is>
          <t>https://www.shanghairanking.cn/rankings/bcur/2026</t>
        </is>
      </c>
      <c r="P213" s="4" t="n"/>
    </row>
    <row r="214">
      <c r="A214" s="3" t="inlineStr">
        <is>
          <t>China|Hefei University of Technology</t>
        </is>
      </c>
      <c r="B214" s="3" t="inlineStr">
        <is>
          <t>China</t>
        </is>
      </c>
      <c r="C214" s="3" t="inlineStr">
        <is>
          <t>Хэфэй</t>
        </is>
      </c>
      <c r="D214" s="3" t="inlineStr">
        <is>
          <t>Hefei University of Technology</t>
        </is>
      </c>
      <c r="E214" s="3" t="inlineStr">
        <is>
          <t>合肥工业大学</t>
        </is>
      </c>
      <c r="F214" s="3" t="inlineStr">
        <is>
          <t>https://www.hfut.edu.cn</t>
        </is>
      </c>
      <c r="G214" s="3" t="inlineStr"/>
      <c r="H214" s="3" t="inlineStr"/>
      <c r="I214" s="3" t="inlineStr">
        <is>
          <t>BCUR2026: 80</t>
        </is>
      </c>
      <c r="J214" s="4" t="inlineStr">
        <is>
          <t>не в рейтинге</t>
        </is>
      </c>
      <c r="K214" s="4" t="inlineStr">
        <is>
          <t>не в рейтинге</t>
        </is>
      </c>
      <c r="L214" s="4" t="inlineStr">
        <is>
          <t>нет в опубл. списке (опубликован только топ-15 страны)</t>
        </is>
      </c>
      <c r="M214" s="4" t="inlineStr">
        <is>
          <t>BCUR (ShanghaiRanking) 2026</t>
        </is>
      </c>
      <c r="N214" s="4" t="inlineStr">
        <is>
          <t>80</t>
        </is>
      </c>
      <c r="O214" s="4" t="inlineStr">
        <is>
          <t>https://www.shanghairanking.cn/rankings/bcur/2026</t>
        </is>
      </c>
      <c r="P214" s="4" t="n"/>
    </row>
    <row r="215">
      <c r="A215" s="3" t="inlineStr">
        <is>
          <t>China|Heilongjiang University</t>
        </is>
      </c>
      <c r="B215" s="3" t="inlineStr">
        <is>
          <t>China</t>
        </is>
      </c>
      <c r="C215" s="3" t="inlineStr">
        <is>
          <t>Харбин</t>
        </is>
      </c>
      <c r="D215" s="3" t="inlineStr">
        <is>
          <t>Heilongjiang University</t>
        </is>
      </c>
      <c r="E215" s="3" t="inlineStr">
        <is>
          <t>黑龙江大学</t>
        </is>
      </c>
      <c r="F215" s="3" t="inlineStr">
        <is>
          <t>https://www.hlju.edu.cn</t>
        </is>
      </c>
      <c r="G215" s="3" t="inlineStr"/>
      <c r="H215" s="3" t="inlineStr"/>
      <c r="I215" s="3" t="inlineStr">
        <is>
          <t>BCUR2026: 155</t>
        </is>
      </c>
      <c r="J215" s="4" t="inlineStr">
        <is>
          <t>не в рейтинге</t>
        </is>
      </c>
      <c r="K215" s="4" t="inlineStr">
        <is>
          <t>не в рейтинге</t>
        </is>
      </c>
      <c r="L215" s="4" t="inlineStr">
        <is>
          <t>нет в опубл. списке (опубликован только топ-15 страны)</t>
        </is>
      </c>
      <c r="M215" s="4" t="inlineStr">
        <is>
          <t>BCUR (ShanghaiRanking) 2026</t>
        </is>
      </c>
      <c r="N215" s="4" t="inlineStr">
        <is>
          <t>155</t>
        </is>
      </c>
      <c r="O215" s="4" t="inlineStr">
        <is>
          <t>https://www.shanghairanking.cn/rankings/bcur/2026</t>
        </is>
      </c>
      <c r="P215" s="4" t="n"/>
    </row>
    <row r="216">
      <c r="A216" s="3" t="inlineStr">
        <is>
          <t>China|Henan Agricultural University</t>
        </is>
      </c>
      <c r="B216" s="3" t="inlineStr">
        <is>
          <t>China</t>
        </is>
      </c>
      <c r="C216" s="3" t="inlineStr">
        <is>
          <t>Чжэнчжоу</t>
        </is>
      </c>
      <c r="D216" s="3" t="inlineStr">
        <is>
          <t>Henan Agricultural University</t>
        </is>
      </c>
      <c r="E216" s="3" t="inlineStr">
        <is>
          <t>河南农业大学</t>
        </is>
      </c>
      <c r="F216" s="3" t="inlineStr">
        <is>
          <t>https://www.henau.edu.cn</t>
        </is>
      </c>
      <c r="G216" s="3" t="inlineStr"/>
      <c r="H216" s="3" t="inlineStr"/>
      <c r="I216" s="3" t="inlineStr">
        <is>
          <t>BCUR2026: 145</t>
        </is>
      </c>
      <c r="J216" s="4" t="inlineStr">
        <is>
          <t>не в рейтинге</t>
        </is>
      </c>
      <c r="K216" s="4" t="inlineStr">
        <is>
          <t>не в рейтинге</t>
        </is>
      </c>
      <c r="L216" s="4" t="inlineStr">
        <is>
          <t>нет в опубл. списке (опубликован только топ-15 страны)</t>
        </is>
      </c>
      <c r="M216" s="4" t="inlineStr">
        <is>
          <t>BCUR (ShanghaiRanking) 2026</t>
        </is>
      </c>
      <c r="N216" s="4" t="inlineStr">
        <is>
          <t>145</t>
        </is>
      </c>
      <c r="O216" s="4" t="inlineStr">
        <is>
          <t>https://www.shanghairanking.cn/rankings/bcur/2026</t>
        </is>
      </c>
      <c r="P216" s="4" t="n"/>
    </row>
    <row r="217">
      <c r="A217" s="3" t="inlineStr">
        <is>
          <t>China|Henan Normal University</t>
        </is>
      </c>
      <c r="B217" s="3" t="inlineStr">
        <is>
          <t>China</t>
        </is>
      </c>
      <c r="C217" s="3" t="inlineStr">
        <is>
          <t>Синьсян</t>
        </is>
      </c>
      <c r="D217" s="3" t="inlineStr">
        <is>
          <t>Henan Normal University</t>
        </is>
      </c>
      <c r="E217" s="3" t="inlineStr">
        <is>
          <t>河南师范大学</t>
        </is>
      </c>
      <c r="F217" s="3" t="inlineStr">
        <is>
          <t>https://www.htu.edu.cn</t>
        </is>
      </c>
      <c r="G217" s="3" t="inlineStr"/>
      <c r="H217" s="3" t="inlineStr"/>
      <c r="I217" s="3" t="inlineStr">
        <is>
          <t>BCUR2026: 168</t>
        </is>
      </c>
      <c r="J217" s="4" t="inlineStr">
        <is>
          <t>не в рейтинге</t>
        </is>
      </c>
      <c r="K217" s="4" t="inlineStr">
        <is>
          <t>не в рейтинге</t>
        </is>
      </c>
      <c r="L217" s="4" t="inlineStr">
        <is>
          <t>нет в опубл. списке (опубликован только топ-15 страны)</t>
        </is>
      </c>
      <c r="M217" s="4" t="inlineStr">
        <is>
          <t>BCUR (ShanghaiRanking) 2026</t>
        </is>
      </c>
      <c r="N217" s="4" t="inlineStr">
        <is>
          <t>168</t>
        </is>
      </c>
      <c r="O217" s="4" t="inlineStr">
        <is>
          <t>https://www.shanghairanking.cn/rankings/bcur/2026</t>
        </is>
      </c>
      <c r="P217" s="4" t="n"/>
    </row>
    <row r="218">
      <c r="A218" s="3" t="inlineStr">
        <is>
          <t>China|Henan University</t>
        </is>
      </c>
      <c r="B218" s="3" t="inlineStr">
        <is>
          <t>China</t>
        </is>
      </c>
      <c r="C218" s="3" t="inlineStr">
        <is>
          <t>Кайфэн / Чжэнчжоу</t>
        </is>
      </c>
      <c r="D218" s="3" t="inlineStr">
        <is>
          <t>Henan University</t>
        </is>
      </c>
      <c r="E218" s="3" t="inlineStr">
        <is>
          <t>河南大学</t>
        </is>
      </c>
      <c r="F218" s="3" t="inlineStr">
        <is>
          <t>https://www.henu.edu.cn</t>
        </is>
      </c>
      <c r="G218" s="3" t="inlineStr">
        <is>
          <t>QS2027: 1201-1400</t>
        </is>
      </c>
      <c r="H218" s="3" t="inlineStr">
        <is>
          <t>THE2027: 1001–1200</t>
        </is>
      </c>
      <c r="I218" s="3" t="inlineStr">
        <is>
          <t>BCUR2026: 95</t>
        </is>
      </c>
      <c r="J218" s="4" t="inlineStr">
        <is>
          <t>1201–1400</t>
        </is>
      </c>
      <c r="K218" s="4" t="inlineStr">
        <is>
          <t>1001–1200</t>
        </is>
      </c>
      <c r="L218" s="4" t="inlineStr">
        <is>
          <t>нет в опубл. списке (опубликован только топ-15 страны)</t>
        </is>
      </c>
      <c r="M218" s="4" t="inlineStr">
        <is>
          <t>BCUR (ShanghaiRanking) 2026</t>
        </is>
      </c>
      <c r="N218" s="4" t="inlineStr">
        <is>
          <t>95</t>
        </is>
      </c>
      <c r="O218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18" s="4" t="n"/>
    </row>
    <row r="219">
      <c r="A219" s="3" t="inlineStr">
        <is>
          <t>China|Henan University of Science and Technology</t>
        </is>
      </c>
      <c r="B219" s="3" t="inlineStr">
        <is>
          <t>China</t>
        </is>
      </c>
      <c r="C219" s="3" t="inlineStr">
        <is>
          <t>Лоян</t>
        </is>
      </c>
      <c r="D219" s="3" t="inlineStr">
        <is>
          <t>Henan University of Science and Technology</t>
        </is>
      </c>
      <c r="E219" s="3" t="inlineStr">
        <is>
          <t>河南科技大学</t>
        </is>
      </c>
      <c r="F219" s="3" t="inlineStr">
        <is>
          <t>https://www.haust.edu.cn</t>
        </is>
      </c>
      <c r="G219" s="3" t="inlineStr"/>
      <c r="H219" s="3" t="inlineStr"/>
      <c r="I219" s="3" t="inlineStr">
        <is>
          <t>BCUR2026: 176</t>
        </is>
      </c>
      <c r="J219" s="4" t="inlineStr">
        <is>
          <t>не в рейтинге</t>
        </is>
      </c>
      <c r="K219" s="4" t="inlineStr">
        <is>
          <t>не в рейтинге</t>
        </is>
      </c>
      <c r="L219" s="4" t="inlineStr">
        <is>
          <t>нет в опубл. списке (опубликован только топ-15 страны)</t>
        </is>
      </c>
      <c r="M219" s="4" t="inlineStr">
        <is>
          <t>BCUR (ShanghaiRanking) 2026</t>
        </is>
      </c>
      <c r="N219" s="4" t="inlineStr">
        <is>
          <t>176</t>
        </is>
      </c>
      <c r="O219" s="4" t="inlineStr">
        <is>
          <t>https://www.shanghairanking.cn/rankings/bcur/2026</t>
        </is>
      </c>
      <c r="P219" s="4" t="n"/>
    </row>
    <row r="220">
      <c r="A220" s="3" t="inlineStr">
        <is>
          <t>China|Hohai University</t>
        </is>
      </c>
      <c r="B220" s="3" t="inlineStr">
        <is>
          <t>China</t>
        </is>
      </c>
      <c r="C220" s="3" t="inlineStr">
        <is>
          <t>Нанкин</t>
        </is>
      </c>
      <c r="D220" s="3" t="inlineStr">
        <is>
          <t>Hohai University</t>
        </is>
      </c>
      <c r="E220" s="3" t="inlineStr">
        <is>
          <t>河海大学</t>
        </is>
      </c>
      <c r="F220" s="3" t="inlineStr">
        <is>
          <t>https://www.hhu.edu.cn</t>
        </is>
      </c>
      <c r="G220" s="3" t="inlineStr">
        <is>
          <t>QS2027: 1001-1200</t>
        </is>
      </c>
      <c r="H220" s="3" t="inlineStr"/>
      <c r="I220" s="3" t="inlineStr">
        <is>
          <t>BCUR2026: 63</t>
        </is>
      </c>
      <c r="J220" s="4" t="inlineStr">
        <is>
          <t>1001–1200</t>
        </is>
      </c>
      <c r="K220" s="4" t="inlineStr">
        <is>
          <t>не в рейтинге</t>
        </is>
      </c>
      <c r="L220" s="4" t="inlineStr">
        <is>
          <t>нет в опубл. списке (опубликован только топ-15 страны)</t>
        </is>
      </c>
      <c r="M220" s="4" t="inlineStr">
        <is>
          <t>BCUR (ShanghaiRanking) 2026</t>
        </is>
      </c>
      <c r="N220" s="4" t="inlineStr">
        <is>
          <t>63</t>
        </is>
      </c>
      <c r="O220" s="4" t="inlineStr">
        <is>
          <t>https://www.topuniversities.com/world-university-rankings (QS WUR 2027)
https://www.shanghairanking.cn/rankings/bcur/2026</t>
        </is>
      </c>
      <c r="P220" s="4" t="n"/>
    </row>
    <row r="221">
      <c r="A221" s="3" t="inlineStr">
        <is>
          <t>China|Huaqiao University</t>
        </is>
      </c>
      <c r="B221" s="3" t="inlineStr">
        <is>
          <t>China</t>
        </is>
      </c>
      <c r="C221" s="3" t="inlineStr">
        <is>
          <t>Цюаньчжоу (кампусы в Цюаньчжоу и Сямэне)</t>
        </is>
      </c>
      <c r="D221" s="3" t="inlineStr">
        <is>
          <t>Huaqiao University</t>
        </is>
      </c>
      <c r="E221" s="3" t="inlineStr">
        <is>
          <t>华侨大学</t>
        </is>
      </c>
      <c r="F221" s="3" t="inlineStr">
        <is>
          <t>https://www.hqu.edu.cn</t>
        </is>
      </c>
      <c r="G221" s="3" t="inlineStr"/>
      <c r="H221" s="3" t="inlineStr">
        <is>
          <t>THE2027: 1201–1400</t>
        </is>
      </c>
      <c r="I221" s="3" t="inlineStr">
        <is>
          <t>BCUR2026: 139</t>
        </is>
      </c>
      <c r="J221" s="4" t="inlineStr">
        <is>
          <t>не в рейтинге</t>
        </is>
      </c>
      <c r="K221" s="4" t="inlineStr">
        <is>
          <t>1201–1400</t>
        </is>
      </c>
      <c r="L221" s="4" t="inlineStr">
        <is>
          <t>нет в опубл. списке (опубликован только топ-15 страны)</t>
        </is>
      </c>
      <c r="M221" s="4" t="inlineStr">
        <is>
          <t>BCUR (ShanghaiRanking) 2026</t>
        </is>
      </c>
      <c r="N221" s="4" t="inlineStr">
        <is>
          <t>139</t>
        </is>
      </c>
      <c r="O221" s="4" t="inlineStr">
        <is>
          <t>https://www.timeshighereducation.com/world-university-rankings/2027/world-ranking
https://www.shanghairanking.cn/rankings/bcur/2026</t>
        </is>
      </c>
      <c r="P221" s="4" t="n"/>
    </row>
    <row r="222">
      <c r="A222" s="3" t="inlineStr">
        <is>
          <t>China|Huazhong Agricultural University</t>
        </is>
      </c>
      <c r="B222" s="3" t="inlineStr">
        <is>
          <t>China</t>
        </is>
      </c>
      <c r="C222" s="3" t="inlineStr">
        <is>
          <t>Ухань</t>
        </is>
      </c>
      <c r="D222" s="3" t="inlineStr">
        <is>
          <t>Huazhong Agricultural University</t>
        </is>
      </c>
      <c r="E222" s="3" t="inlineStr">
        <is>
          <t>华中农业大学</t>
        </is>
      </c>
      <c r="F222" s="3" t="inlineStr">
        <is>
          <t>https://www.hzau.edu.cn</t>
        </is>
      </c>
      <c r="G222" s="3" t="inlineStr">
        <is>
          <t>QS2027: 1001-1200</t>
        </is>
      </c>
      <c r="H222" s="3" t="inlineStr"/>
      <c r="I222" s="3" t="inlineStr">
        <is>
          <t>BCUR2026: 45</t>
        </is>
      </c>
      <c r="J222" s="4" t="inlineStr">
        <is>
          <t>1001–1200</t>
        </is>
      </c>
      <c r="K222" s="4" t="inlineStr">
        <is>
          <t>не в рейтинге</t>
        </is>
      </c>
      <c r="L222" s="4" t="inlineStr">
        <is>
          <t>нет в опубл. списке (опубликован только топ-15 страны)</t>
        </is>
      </c>
      <c r="M222" s="4" t="inlineStr">
        <is>
          <t>BCUR (ShanghaiRanking) 2026</t>
        </is>
      </c>
      <c r="N222" s="4" t="inlineStr">
        <is>
          <t>45</t>
        </is>
      </c>
      <c r="O222" s="4" t="inlineStr">
        <is>
          <t>https://www.topuniversities.com/world-university-rankings (QS WUR 2027)
https://www.shanghairanking.cn/rankings/bcur/2026</t>
        </is>
      </c>
      <c r="P222" s="4" t="n"/>
    </row>
    <row r="223">
      <c r="A223" s="3" t="inlineStr">
        <is>
          <t>China|Huazhong University of Science and Technology</t>
        </is>
      </c>
      <c r="B223" s="3" t="inlineStr">
        <is>
          <t>China</t>
        </is>
      </c>
      <c r="C223" s="3" t="inlineStr">
        <is>
          <t>Ухань</t>
        </is>
      </c>
      <c r="D223" s="3" t="inlineStr">
        <is>
          <t>Huazhong University of Science and Technology</t>
        </is>
      </c>
      <c r="E223" s="3" t="inlineStr">
        <is>
          <t>华中科技大学</t>
        </is>
      </c>
      <c r="F223" s="3" t="inlineStr">
        <is>
          <t>https://www.hust.edu.cn</t>
        </is>
      </c>
      <c r="G223" s="3" t="inlineStr">
        <is>
          <t>QS2027: 307</t>
        </is>
      </c>
      <c r="H223" s="3" t="inlineStr">
        <is>
          <t>THE2027: =191</t>
        </is>
      </c>
      <c r="I223" s="3" t="inlineStr">
        <is>
          <t>BCUR2026: 9</t>
        </is>
      </c>
      <c r="J223" s="4" t="inlineStr">
        <is>
          <t>307</t>
        </is>
      </c>
      <c r="K223" s="4">
        <f>191</f>
        <v/>
      </c>
      <c r="L223" s="4" t="inlineStr">
        <is>
          <t>92</t>
        </is>
      </c>
      <c r="M223" s="4" t="inlineStr">
        <is>
          <t>BCUR (ShanghaiRanking) 2026</t>
        </is>
      </c>
      <c r="N223" s="4" t="inlineStr">
        <is>
          <t>9</t>
        </is>
      </c>
      <c r="O22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223" s="4" t="n"/>
    </row>
    <row r="224">
      <c r="A224" s="3" t="inlineStr">
        <is>
          <t>China|Hunan Agricultural University</t>
        </is>
      </c>
      <c r="B224" s="3" t="inlineStr">
        <is>
          <t>China</t>
        </is>
      </c>
      <c r="C224" s="3" t="inlineStr">
        <is>
          <t>Чанша</t>
        </is>
      </c>
      <c r="D224" s="3" t="inlineStr">
        <is>
          <t>Hunan Agricultural University</t>
        </is>
      </c>
      <c r="E224" s="3" t="inlineStr">
        <is>
          <t>湖南农业大学</t>
        </is>
      </c>
      <c r="F224" s="3" t="inlineStr">
        <is>
          <t>https://www.hunau.edu.cn</t>
        </is>
      </c>
      <c r="G224" s="3" t="inlineStr"/>
      <c r="H224" s="3" t="inlineStr"/>
      <c r="I224" s="3" t="inlineStr">
        <is>
          <t>BCUR2026: 166</t>
        </is>
      </c>
      <c r="J224" s="4" t="inlineStr">
        <is>
          <t>не в рейтинге</t>
        </is>
      </c>
      <c r="K224" s="4" t="inlineStr">
        <is>
          <t>не в рейтинге</t>
        </is>
      </c>
      <c r="L224" s="4" t="inlineStr">
        <is>
          <t>нет в опубл. списке (опубликован только топ-15 страны)</t>
        </is>
      </c>
      <c r="M224" s="4" t="inlineStr">
        <is>
          <t>BCUR (ShanghaiRanking) 2026</t>
        </is>
      </c>
      <c r="N224" s="4" t="inlineStr">
        <is>
          <t>166</t>
        </is>
      </c>
      <c r="O224" s="4" t="inlineStr">
        <is>
          <t>https://www.shanghairanking.cn/rankings/bcur/2026</t>
        </is>
      </c>
      <c r="P224" s="4" t="n"/>
    </row>
    <row r="225">
      <c r="A225" s="3" t="inlineStr">
        <is>
          <t>China|Hunan Normal University</t>
        </is>
      </c>
      <c r="B225" s="3" t="inlineStr">
        <is>
          <t>China</t>
        </is>
      </c>
      <c r="C225" s="3" t="inlineStr">
        <is>
          <t>Чанша</t>
        </is>
      </c>
      <c r="D225" s="3" t="inlineStr">
        <is>
          <t>Hunan Normal University</t>
        </is>
      </c>
      <c r="E225" s="3" t="inlineStr">
        <is>
          <t>湖南师范大学</t>
        </is>
      </c>
      <c r="F225" s="3" t="inlineStr">
        <is>
          <t>https://www.hunnu.edu.cn</t>
        </is>
      </c>
      <c r="G225" s="3" t="inlineStr"/>
      <c r="H225" s="3" t="inlineStr"/>
      <c r="I225" s="3" t="inlineStr">
        <is>
          <t>BCUR2026: 92</t>
        </is>
      </c>
      <c r="J225" s="4" t="inlineStr">
        <is>
          <t>не в рейтинге</t>
        </is>
      </c>
      <c r="K225" s="4" t="inlineStr">
        <is>
          <t>не в рейтинге</t>
        </is>
      </c>
      <c r="L225" s="4" t="inlineStr">
        <is>
          <t>нет в опубл. списке (опубликован только топ-15 страны)</t>
        </is>
      </c>
      <c r="M225" s="4" t="inlineStr">
        <is>
          <t>BCUR (ShanghaiRanking) 2026</t>
        </is>
      </c>
      <c r="N225" s="4" t="inlineStr">
        <is>
          <t>92</t>
        </is>
      </c>
      <c r="O225" s="4" t="inlineStr">
        <is>
          <t>https://www.shanghairanking.cn/rankings/bcur/2026</t>
        </is>
      </c>
      <c r="P225" s="4" t="n"/>
    </row>
    <row r="226">
      <c r="A226" s="3" t="inlineStr">
        <is>
          <t>China|Hunan University</t>
        </is>
      </c>
      <c r="B226" s="3" t="inlineStr">
        <is>
          <t>China</t>
        </is>
      </c>
      <c r="C226" s="3" t="inlineStr">
        <is>
          <t>Чанша</t>
        </is>
      </c>
      <c r="D226" s="3" t="inlineStr">
        <is>
          <t>Hunan University</t>
        </is>
      </c>
      <c r="E226" s="3" t="inlineStr">
        <is>
          <t>湖南大学</t>
        </is>
      </c>
      <c r="F226" s="3" t="inlineStr">
        <is>
          <t>https://www.hnu.edu.cn</t>
        </is>
      </c>
      <c r="G226" s="3" t="inlineStr">
        <is>
          <t>QS2027: =477</t>
        </is>
      </c>
      <c r="H226" s="3" t="inlineStr">
        <is>
          <t>THE2027: =263</t>
        </is>
      </c>
      <c r="I226" s="3" t="inlineStr">
        <is>
          <t>BCUR2026: 31</t>
        </is>
      </c>
      <c r="J226" s="4">
        <f>477</f>
        <v/>
      </c>
      <c r="K226" s="4">
        <f>263</f>
        <v/>
      </c>
      <c r="L226" s="4" t="inlineStr">
        <is>
          <t>нет в опубл. списке (опубликован только топ-15 страны)</t>
        </is>
      </c>
      <c r="M226" s="4" t="inlineStr">
        <is>
          <t>BCUR (ShanghaiRanking) 2026</t>
        </is>
      </c>
      <c r="N226" s="4" t="inlineStr">
        <is>
          <t>31</t>
        </is>
      </c>
      <c r="O226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26" s="4" t="n"/>
    </row>
    <row r="227">
      <c r="A227" s="3" t="inlineStr">
        <is>
          <t>China|Inner Mongolia University</t>
        </is>
      </c>
      <c r="B227" s="3" t="inlineStr">
        <is>
          <t>China</t>
        </is>
      </c>
      <c r="C227" s="3" t="inlineStr">
        <is>
          <t>Хух-Хото</t>
        </is>
      </c>
      <c r="D227" s="3" t="inlineStr">
        <is>
          <t>Inner Mongolia University</t>
        </is>
      </c>
      <c r="E227" s="3" t="inlineStr">
        <is>
          <t>内蒙古大学</t>
        </is>
      </c>
      <c r="F227" s="3" t="inlineStr">
        <is>
          <t>https://www.imu.edu.cn</t>
        </is>
      </c>
      <c r="G227" s="3" t="inlineStr"/>
      <c r="H227" s="3" t="inlineStr"/>
      <c r="I227" s="3" t="inlineStr">
        <is>
          <t>BCUR2026: 114</t>
        </is>
      </c>
      <c r="J227" s="4" t="inlineStr">
        <is>
          <t>не в рейтинге</t>
        </is>
      </c>
      <c r="K227" s="4" t="inlineStr">
        <is>
          <t>не в рейтинге</t>
        </is>
      </c>
      <c r="L227" s="4" t="inlineStr">
        <is>
          <t>нет в опубл. списке (опубликован только топ-15 страны)</t>
        </is>
      </c>
      <c r="M227" s="4" t="inlineStr">
        <is>
          <t>BCUR (ShanghaiRanking) 2026</t>
        </is>
      </c>
      <c r="N227" s="4" t="inlineStr">
        <is>
          <t>114</t>
        </is>
      </c>
      <c r="O227" s="4" t="inlineStr">
        <is>
          <t>https://www.shanghairanking.cn/rankings/bcur/2026</t>
        </is>
      </c>
      <c r="P227" s="4" t="n"/>
    </row>
    <row r="228">
      <c r="A228" s="3" t="inlineStr">
        <is>
          <t>China|Jiangnan University</t>
        </is>
      </c>
      <c r="B228" s="3" t="inlineStr">
        <is>
          <t>China</t>
        </is>
      </c>
      <c r="C228" s="3" t="inlineStr">
        <is>
          <t>Уси</t>
        </is>
      </c>
      <c r="D228" s="3" t="inlineStr">
        <is>
          <t>Jiangnan University</t>
        </is>
      </c>
      <c r="E228" s="3" t="inlineStr">
        <is>
          <t>江南大学</t>
        </is>
      </c>
      <c r="F228" s="3" t="inlineStr">
        <is>
          <t>https://www.jiangnan.edu.cn</t>
        </is>
      </c>
      <c r="G228" s="3" t="inlineStr">
        <is>
          <t>QS2027: 771-780</t>
        </is>
      </c>
      <c r="H228" s="3" t="inlineStr">
        <is>
          <t>THE2027: 601-650</t>
        </is>
      </c>
      <c r="I228" s="3" t="inlineStr">
        <is>
          <t>BCUR2026: 52</t>
        </is>
      </c>
      <c r="J228" s="4" t="inlineStr">
        <is>
          <t>771–780</t>
        </is>
      </c>
      <c r="K228" s="4" t="inlineStr">
        <is>
          <t>601–650</t>
        </is>
      </c>
      <c r="L228" s="4" t="inlineStr">
        <is>
          <t>нет в опубл. списке (опубликован только топ-15 страны)</t>
        </is>
      </c>
      <c r="M228" s="4" t="inlineStr">
        <is>
          <t>BCUR (ShanghaiRanking) 2026</t>
        </is>
      </c>
      <c r="N228" s="4" t="inlineStr">
        <is>
          <t>52</t>
        </is>
      </c>
      <c r="O228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28" s="4" t="n"/>
    </row>
    <row r="229">
      <c r="A229" s="3" t="inlineStr">
        <is>
          <t>China|Jiangsu Normal University</t>
        </is>
      </c>
      <c r="B229" s="3" t="inlineStr">
        <is>
          <t>China</t>
        </is>
      </c>
      <c r="C229" s="3" t="inlineStr">
        <is>
          <t>Сюйчжоу</t>
        </is>
      </c>
      <c r="D229" s="3" t="inlineStr">
        <is>
          <t>Jiangsu Normal University</t>
        </is>
      </c>
      <c r="E229" s="3" t="inlineStr">
        <is>
          <t>江苏师范大学</t>
        </is>
      </c>
      <c r="F229" s="3" t="inlineStr">
        <is>
          <t>https://www.jsnu.edu.cn</t>
        </is>
      </c>
      <c r="G229" s="3" t="inlineStr"/>
      <c r="H229" s="3" t="inlineStr"/>
      <c r="I229" s="3" t="inlineStr">
        <is>
          <t>BCUR2026: 172</t>
        </is>
      </c>
      <c r="J229" s="4" t="inlineStr">
        <is>
          <t>не в рейтинге</t>
        </is>
      </c>
      <c r="K229" s="4" t="inlineStr">
        <is>
          <t>не в рейтинге</t>
        </is>
      </c>
      <c r="L229" s="4" t="inlineStr">
        <is>
          <t>нет в опубл. списке (опубликован только топ-15 страны)</t>
        </is>
      </c>
      <c r="M229" s="4" t="inlineStr">
        <is>
          <t>BCUR (ShanghaiRanking) 2026</t>
        </is>
      </c>
      <c r="N229" s="4" t="inlineStr">
        <is>
          <t>172</t>
        </is>
      </c>
      <c r="O229" s="4" t="inlineStr">
        <is>
          <t>https://www.shanghairanking.cn/rankings/bcur/2026</t>
        </is>
      </c>
      <c r="P229" s="4" t="n"/>
    </row>
    <row r="230">
      <c r="A230" s="3" t="inlineStr">
        <is>
          <t>China|Jiangsu University</t>
        </is>
      </c>
      <c r="B230" s="3" t="inlineStr">
        <is>
          <t>China</t>
        </is>
      </c>
      <c r="C230" s="3" t="inlineStr">
        <is>
          <t>Чжэньцзян</t>
        </is>
      </c>
      <c r="D230" s="3" t="inlineStr">
        <is>
          <t>Jiangsu University</t>
        </is>
      </c>
      <c r="E230" s="3" t="inlineStr">
        <is>
          <t>江苏大学</t>
        </is>
      </c>
      <c r="F230" s="3" t="inlineStr">
        <is>
          <t>https://www.ujs.edu.cn</t>
        </is>
      </c>
      <c r="G230" s="3" t="inlineStr">
        <is>
          <t>QS2027: 701-710</t>
        </is>
      </c>
      <c r="H230" s="3" t="inlineStr">
        <is>
          <t>THE2027: 501–550</t>
        </is>
      </c>
      <c r="I230" s="3" t="inlineStr">
        <is>
          <t>BCUR2026: 81</t>
        </is>
      </c>
      <c r="J230" s="4" t="inlineStr">
        <is>
          <t>701–710</t>
        </is>
      </c>
      <c r="K230" s="4" t="inlineStr">
        <is>
          <t>501–550</t>
        </is>
      </c>
      <c r="L230" s="4" t="inlineStr">
        <is>
          <t>нет в опубл. списке (опубликован только топ-15 страны)</t>
        </is>
      </c>
      <c r="M230" s="4" t="inlineStr">
        <is>
          <t>BCUR (ShanghaiRanking) 2026</t>
        </is>
      </c>
      <c r="N230" s="4" t="inlineStr">
        <is>
          <t>81</t>
        </is>
      </c>
      <c r="O23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30" s="4" t="n"/>
    </row>
    <row r="231">
      <c r="A231" s="3" t="inlineStr">
        <is>
          <t>China|Jiangsu University of Science and Technology</t>
        </is>
      </c>
      <c r="B231" s="3" t="inlineStr">
        <is>
          <t>China</t>
        </is>
      </c>
      <c r="C231" s="3" t="inlineStr">
        <is>
          <t>Чжэньцзян</t>
        </is>
      </c>
      <c r="D231" s="3" t="inlineStr">
        <is>
          <t>Jiangsu University of Science and Technology</t>
        </is>
      </c>
      <c r="E231" s="3" t="inlineStr">
        <is>
          <t>江苏科技大学</t>
        </is>
      </c>
      <c r="F231" s="3" t="inlineStr">
        <is>
          <t>https://www.just.edu.cn</t>
        </is>
      </c>
      <c r="G231" s="3" t="inlineStr"/>
      <c r="H231" s="3" t="inlineStr">
        <is>
          <t>THE2027: 1001–1200</t>
        </is>
      </c>
      <c r="I231" s="3" t="inlineStr">
        <is>
          <t>BCUR2026: 141</t>
        </is>
      </c>
      <c r="J231" s="4" t="inlineStr">
        <is>
          <t>не в рейтинге</t>
        </is>
      </c>
      <c r="K231" s="4" t="inlineStr">
        <is>
          <t>1001–1200</t>
        </is>
      </c>
      <c r="L231" s="4" t="inlineStr">
        <is>
          <t>нет в опубл. списке (опубликован только топ-15 страны)</t>
        </is>
      </c>
      <c r="M231" s="4" t="inlineStr">
        <is>
          <t>BCUR (ShanghaiRanking) 2026</t>
        </is>
      </c>
      <c r="N231" s="4" t="inlineStr">
        <is>
          <t>141</t>
        </is>
      </c>
      <c r="O231" s="4" t="inlineStr">
        <is>
          <t>https://www.timeshighereducation.com/world-university-rankings/2027/world-ranking
https://www.shanghairanking.cn/rankings/bcur/2026</t>
        </is>
      </c>
      <c r="P231" s="4" t="n"/>
    </row>
    <row r="232">
      <c r="A232" s="3" t="inlineStr">
        <is>
          <t>China|Jiangxi Normal University</t>
        </is>
      </c>
      <c r="B232" s="3" t="inlineStr">
        <is>
          <t>China</t>
        </is>
      </c>
      <c r="C232" s="3" t="inlineStr">
        <is>
          <t>Наньчан</t>
        </is>
      </c>
      <c r="D232" s="3" t="inlineStr">
        <is>
          <t>Jiangxi Normal University</t>
        </is>
      </c>
      <c r="E232" s="3" t="inlineStr">
        <is>
          <t>江西师范大学</t>
        </is>
      </c>
      <c r="F232" s="3" t="inlineStr">
        <is>
          <t>https://www.jxnu.edu.cn</t>
        </is>
      </c>
      <c r="G232" s="3" t="inlineStr"/>
      <c r="H232" s="3" t="inlineStr">
        <is>
          <t>THE2027: 1401–1600</t>
        </is>
      </c>
      <c r="I232" s="3" t="inlineStr">
        <is>
          <t>BCUR2026: 126</t>
        </is>
      </c>
      <c r="J232" s="4" t="inlineStr">
        <is>
          <t>не в рейтинге</t>
        </is>
      </c>
      <c r="K232" s="4" t="inlineStr">
        <is>
          <t>1401–1600</t>
        </is>
      </c>
      <c r="L232" s="4" t="inlineStr">
        <is>
          <t>нет в опубл. списке (опубликован только топ-15 страны)</t>
        </is>
      </c>
      <c r="M232" s="4" t="inlineStr">
        <is>
          <t>BCUR (ShanghaiRanking) 2026</t>
        </is>
      </c>
      <c r="N232" s="4" t="inlineStr">
        <is>
          <t>126</t>
        </is>
      </c>
      <c r="O232" s="4" t="inlineStr">
        <is>
          <t>https://www.timeshighereducation.com/world-university-rankings/2027/world-ranking
https://www.shanghairanking.cn/rankings/bcur/2026</t>
        </is>
      </c>
      <c r="P232" s="4" t="n"/>
    </row>
    <row r="233">
      <c r="A233" s="3" t="inlineStr">
        <is>
          <t>China|Jilin Agricultural University</t>
        </is>
      </c>
      <c r="B233" s="3" t="inlineStr">
        <is>
          <t>China</t>
        </is>
      </c>
      <c r="C233" s="3" t="inlineStr">
        <is>
          <t>Чанчунь</t>
        </is>
      </c>
      <c r="D233" s="3" t="inlineStr">
        <is>
          <t>Jilin Agricultural University</t>
        </is>
      </c>
      <c r="E233" s="3" t="inlineStr">
        <is>
          <t>吉林农业大学</t>
        </is>
      </c>
      <c r="F233" s="3" t="inlineStr">
        <is>
          <t>https://www.jlau.edu.cn</t>
        </is>
      </c>
      <c r="G233" s="3" t="inlineStr"/>
      <c r="H233" s="3" t="inlineStr"/>
      <c r="I233" s="3" t="inlineStr">
        <is>
          <t>BCUR2026: 161</t>
        </is>
      </c>
      <c r="J233" s="4" t="inlineStr">
        <is>
          <t>не в рейтинге</t>
        </is>
      </c>
      <c r="K233" s="4" t="inlineStr">
        <is>
          <t>не в рейтинге</t>
        </is>
      </c>
      <c r="L233" s="4" t="inlineStr">
        <is>
          <t>нет в опубл. списке (опубликован только топ-15 страны)</t>
        </is>
      </c>
      <c r="M233" s="4" t="inlineStr">
        <is>
          <t>BCUR (ShanghaiRanking) 2026</t>
        </is>
      </c>
      <c r="N233" s="4" t="inlineStr">
        <is>
          <t>161</t>
        </is>
      </c>
      <c r="O233" s="4" t="inlineStr">
        <is>
          <t>https://www.shanghairanking.cn/rankings/bcur/2026</t>
        </is>
      </c>
      <c r="P233" s="4" t="n"/>
    </row>
    <row r="234">
      <c r="A234" s="3" t="inlineStr">
        <is>
          <t>China|Jilin University</t>
        </is>
      </c>
      <c r="B234" s="3" t="inlineStr">
        <is>
          <t>China</t>
        </is>
      </c>
      <c r="C234" s="3" t="inlineStr">
        <is>
          <t>Чанчунь</t>
        </is>
      </c>
      <c r="D234" s="3" t="inlineStr">
        <is>
          <t>Jilin University</t>
        </is>
      </c>
      <c r="E234" s="3" t="inlineStr">
        <is>
          <t>吉林大学</t>
        </is>
      </c>
      <c r="F234" s="3" t="inlineStr">
        <is>
          <t>https://www.jlu.edu.cn</t>
        </is>
      </c>
      <c r="G234" s="3" t="inlineStr">
        <is>
          <t>QS2027: 488</t>
        </is>
      </c>
      <c r="H234" s="3" t="inlineStr">
        <is>
          <t>THE2027: 376-400</t>
        </is>
      </c>
      <c r="I234" s="3" t="inlineStr">
        <is>
          <t>BCUR2026: 26</t>
        </is>
      </c>
      <c r="J234" s="4">
        <f>488</f>
        <v/>
      </c>
      <c r="K234" s="4" t="inlineStr">
        <is>
          <t>376–400</t>
        </is>
      </c>
      <c r="L234" s="4" t="inlineStr">
        <is>
          <t>нет в опубл. списке (опубликован только топ-15 страны)</t>
        </is>
      </c>
      <c r="M234" s="4" t="inlineStr">
        <is>
          <t>BCUR (ShanghaiRanking) 2026</t>
        </is>
      </c>
      <c r="N234" s="4" t="inlineStr">
        <is>
          <t>26</t>
        </is>
      </c>
      <c r="O234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34" s="4" t="n"/>
    </row>
    <row r="235">
      <c r="A235" s="3" t="inlineStr">
        <is>
          <t>China|Jimei University</t>
        </is>
      </c>
      <c r="B235" s="3" t="inlineStr">
        <is>
          <t>China</t>
        </is>
      </c>
      <c r="C235" s="3" t="inlineStr">
        <is>
          <t>Сямэнь</t>
        </is>
      </c>
      <c r="D235" s="3" t="inlineStr">
        <is>
          <t>Jimei University</t>
        </is>
      </c>
      <c r="E235" s="3" t="inlineStr">
        <is>
          <t>集美大学</t>
        </is>
      </c>
      <c r="F235" s="3" t="inlineStr">
        <is>
          <t>https://www.jmu.edu.cn</t>
        </is>
      </c>
      <c r="G235" s="3" t="inlineStr"/>
      <c r="H235" s="3" t="inlineStr"/>
      <c r="I235" s="3" t="inlineStr">
        <is>
          <t>BCUR2026: 156</t>
        </is>
      </c>
      <c r="J235" s="4" t="inlineStr">
        <is>
          <t>не в рейтинге</t>
        </is>
      </c>
      <c r="K235" s="4" t="inlineStr">
        <is>
          <t>не в рейтинге</t>
        </is>
      </c>
      <c r="L235" s="4" t="inlineStr">
        <is>
          <t>нет в опубл. списке (опубликован только топ-15 страны)</t>
        </is>
      </c>
      <c r="M235" s="4" t="inlineStr">
        <is>
          <t>BCUR (ShanghaiRanking) 2026</t>
        </is>
      </c>
      <c r="N235" s="4" t="inlineStr">
        <is>
          <t>156</t>
        </is>
      </c>
      <c r="O235" s="4" t="inlineStr">
        <is>
          <t>https://www.shanghairanking.cn/rankings/bcur/2026</t>
        </is>
      </c>
      <c r="P235" s="4" t="n"/>
    </row>
    <row r="236">
      <c r="A236" s="3" t="inlineStr">
        <is>
          <t>China|Jinan University</t>
        </is>
      </c>
      <c r="B236" s="3" t="inlineStr">
        <is>
          <t>China</t>
        </is>
      </c>
      <c r="C236" s="3" t="inlineStr">
        <is>
          <t>Гуанчжоу</t>
        </is>
      </c>
      <c r="D236" s="3" t="inlineStr">
        <is>
          <t>Jinan University</t>
        </is>
      </c>
      <c r="E236" s="3" t="inlineStr">
        <is>
          <t>暨南大学</t>
        </is>
      </c>
      <c r="F236" s="3" t="inlineStr">
        <is>
          <t>https://www.jnu.edu.cn</t>
        </is>
      </c>
      <c r="G236" s="3" t="inlineStr">
        <is>
          <t>QS2027: 483</t>
        </is>
      </c>
      <c r="H236" s="3" t="inlineStr">
        <is>
          <t>THE2027: 501–550</t>
        </is>
      </c>
      <c r="I236" s="3" t="inlineStr">
        <is>
          <t>BCUR2026: 59</t>
        </is>
      </c>
      <c r="J236" s="4">
        <f>483</f>
        <v/>
      </c>
      <c r="K236" s="4" t="inlineStr">
        <is>
          <t>501–550</t>
        </is>
      </c>
      <c r="L236" s="4" t="inlineStr">
        <is>
          <t>нет в опубл. списке (опубликован только топ-15 страны)</t>
        </is>
      </c>
      <c r="M236" s="4" t="inlineStr">
        <is>
          <t>BCUR (ShanghaiRanking) 2026</t>
        </is>
      </c>
      <c r="N236" s="4" t="inlineStr">
        <is>
          <t>59</t>
        </is>
      </c>
      <c r="O236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36" s="4" t="n"/>
    </row>
    <row r="237">
      <c r="A237" s="3" t="inlineStr">
        <is>
          <t>China|Kunming University of Science and Technology</t>
        </is>
      </c>
      <c r="B237" s="3" t="inlineStr">
        <is>
          <t>China</t>
        </is>
      </c>
      <c r="C237" s="3" t="inlineStr">
        <is>
          <t>Куньмин</t>
        </is>
      </c>
      <c r="D237" s="3" t="inlineStr">
        <is>
          <t>Kunming University of Science and Technology</t>
        </is>
      </c>
      <c r="E237" s="3" t="inlineStr">
        <is>
          <t>昆明理工大学</t>
        </is>
      </c>
      <c r="F237" s="3" t="inlineStr">
        <is>
          <t>https://www.kust.edu.cn</t>
        </is>
      </c>
      <c r="G237" s="3" t="inlineStr"/>
      <c r="H237" s="3" t="inlineStr"/>
      <c r="I237" s="3" t="inlineStr">
        <is>
          <t>BCUR2026: 110</t>
        </is>
      </c>
      <c r="J237" s="4" t="inlineStr">
        <is>
          <t>не в рейтинге</t>
        </is>
      </c>
      <c r="K237" s="4" t="inlineStr">
        <is>
          <t>не в рейтинге</t>
        </is>
      </c>
      <c r="L237" s="4" t="inlineStr">
        <is>
          <t>нет в опубл. списке (опубликован только топ-15 страны)</t>
        </is>
      </c>
      <c r="M237" s="4" t="inlineStr">
        <is>
          <t>BCUR (ShanghaiRanking) 2026</t>
        </is>
      </c>
      <c r="N237" s="4" t="inlineStr">
        <is>
          <t>110</t>
        </is>
      </c>
      <c r="O237" s="4" t="inlineStr">
        <is>
          <t>https://www.shanghairanking.cn/rankings/bcur/2026</t>
        </is>
      </c>
      <c r="P237" s="4" t="n"/>
    </row>
    <row r="238">
      <c r="A238" s="3" t="inlineStr">
        <is>
          <t>China|Liaoning Normal University</t>
        </is>
      </c>
      <c r="B238" s="3" t="inlineStr">
        <is>
          <t>China</t>
        </is>
      </c>
      <c r="C238" s="3" t="inlineStr">
        <is>
          <t>Далянь</t>
        </is>
      </c>
      <c r="D238" s="3" t="inlineStr">
        <is>
          <t>Liaoning Normal University</t>
        </is>
      </c>
      <c r="E238" s="3" t="inlineStr">
        <is>
          <t>辽宁师范大学</t>
        </is>
      </c>
      <c r="F238" s="3" t="inlineStr">
        <is>
          <t>http://www.lnnu.edu.cn</t>
        </is>
      </c>
      <c r="G238" s="3" t="inlineStr"/>
      <c r="H238" s="3" t="inlineStr"/>
      <c r="I238" s="3" t="inlineStr">
        <is>
          <t>BCUR2026: 162</t>
        </is>
      </c>
      <c r="J238" s="4" t="inlineStr">
        <is>
          <t>не в рейтинге</t>
        </is>
      </c>
      <c r="K238" s="4" t="inlineStr">
        <is>
          <t>не в рейтинге</t>
        </is>
      </c>
      <c r="L238" s="4" t="inlineStr">
        <is>
          <t>нет в опубл. списке (опубликован только топ-15 страны)</t>
        </is>
      </c>
      <c r="M238" s="4" t="inlineStr">
        <is>
          <t>BCUR (ShanghaiRanking) 2026</t>
        </is>
      </c>
      <c r="N238" s="4" t="inlineStr">
        <is>
          <t>162</t>
        </is>
      </c>
      <c r="O238" s="4" t="inlineStr">
        <is>
          <t>https://www.shanghairanking.cn/rankings/bcur/2026</t>
        </is>
      </c>
      <c r="P238" s="4" t="n"/>
    </row>
    <row r="239">
      <c r="A239" s="3" t="inlineStr">
        <is>
          <t>China|Liaoning University</t>
        </is>
      </c>
      <c r="B239" s="3" t="inlineStr">
        <is>
          <t>China</t>
        </is>
      </c>
      <c r="C239" s="3" t="inlineStr">
        <is>
          <t>Шэньян</t>
        </is>
      </c>
      <c r="D239" s="3" t="inlineStr">
        <is>
          <t>Liaoning University</t>
        </is>
      </c>
      <c r="E239" s="3" t="inlineStr">
        <is>
          <t>辽宁大学</t>
        </is>
      </c>
      <c r="F239" s="3" t="inlineStr">
        <is>
          <t>https://www.lnu.edu.cn</t>
        </is>
      </c>
      <c r="G239" s="3" t="inlineStr"/>
      <c r="H239" s="3" t="inlineStr"/>
      <c r="I239" s="3" t="inlineStr">
        <is>
          <t>BCUR2026: 125</t>
        </is>
      </c>
      <c r="J239" s="4" t="inlineStr">
        <is>
          <t>не в рейтинге</t>
        </is>
      </c>
      <c r="K239" s="4" t="inlineStr">
        <is>
          <t>не в рейтинге</t>
        </is>
      </c>
      <c r="L239" s="4" t="inlineStr">
        <is>
          <t>нет в опубл. списке (опубликован только топ-15 страны)</t>
        </is>
      </c>
      <c r="M239" s="4" t="inlineStr">
        <is>
          <t>BCUR (ShanghaiRanking) 2026</t>
        </is>
      </c>
      <c r="N239" s="4" t="inlineStr">
        <is>
          <t>125</t>
        </is>
      </c>
      <c r="O239" s="4" t="inlineStr">
        <is>
          <t>https://www.shanghairanking.cn/rankings/bcur/2026</t>
        </is>
      </c>
      <c r="P239" s="4" t="n"/>
    </row>
    <row r="240">
      <c r="A240" s="3" t="inlineStr">
        <is>
          <t>China|Macau University of Science and Technology</t>
        </is>
      </c>
      <c r="B240" s="3" t="inlineStr">
        <is>
          <t>China</t>
        </is>
      </c>
      <c r="C240" s="3" t="inlineStr">
        <is>
          <t>Макао</t>
        </is>
      </c>
      <c r="D240" s="3" t="inlineStr">
        <is>
          <t>Macau University of Science and Technology</t>
        </is>
      </c>
      <c r="E240" s="3" t="inlineStr">
        <is>
          <t>澳門科技大學 / 澳门科技大学</t>
        </is>
      </c>
      <c r="F240" s="3" t="inlineStr">
        <is>
          <t>https://www.must.edu.mo</t>
        </is>
      </c>
      <c r="G240" s="3" t="inlineStr">
        <is>
          <t>QS2027: =398</t>
        </is>
      </c>
      <c r="H240" s="3" t="inlineStr">
        <is>
          <t>THE2027: =269</t>
        </is>
      </c>
      <c r="I240" s="3" t="inlineStr"/>
      <c r="J240" s="4">
        <f>398</f>
        <v/>
      </c>
      <c r="K240" s="4">
        <f>269</f>
        <v/>
      </c>
      <c r="L240" s="4" t="inlineStr">
        <is>
          <t>нет в опубл. списке (опубликован только топ-15 страны)</t>
        </is>
      </c>
      <c r="M240" s="4" t="inlineStr">
        <is>
          <t>BCUR (ShanghaiRanking) 2026</t>
        </is>
      </c>
      <c r="N240" s="4" t="inlineStr">
        <is>
          <t>—</t>
        </is>
      </c>
      <c r="O24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40" s="4" t="inlineStr">
        <is>
          <t>BCUR охватывает только материковый Китай</t>
        </is>
      </c>
    </row>
    <row r="241">
      <c r="A241" s="3" t="inlineStr">
        <is>
          <t>China|Nanchang Hangkong University</t>
        </is>
      </c>
      <c r="B241" s="3" t="inlineStr">
        <is>
          <t>China</t>
        </is>
      </c>
      <c r="C241" s="3" t="inlineStr">
        <is>
          <t>Наньчан</t>
        </is>
      </c>
      <c r="D241" s="3" t="inlineStr">
        <is>
          <t>Nanchang Hangkong University</t>
        </is>
      </c>
      <c r="E241" s="3" t="inlineStr">
        <is>
          <t>南昌航空大学</t>
        </is>
      </c>
      <c r="F241" s="3" t="inlineStr">
        <is>
          <t>https://www.nchu.edu.cn</t>
        </is>
      </c>
      <c r="G241" s="3" t="inlineStr"/>
      <c r="H241" s="3" t="inlineStr"/>
      <c r="I241" s="3" t="inlineStr">
        <is>
          <t>BCUR2026: 181</t>
        </is>
      </c>
      <c r="J241" s="4" t="inlineStr">
        <is>
          <t>не в рейтинге</t>
        </is>
      </c>
      <c r="K241" s="4" t="inlineStr">
        <is>
          <t>не в рейтинге</t>
        </is>
      </c>
      <c r="L241" s="4" t="inlineStr">
        <is>
          <t>нет в опубл. списке (опубликован только топ-15 страны)</t>
        </is>
      </c>
      <c r="M241" s="4" t="inlineStr">
        <is>
          <t>BCUR (ShanghaiRanking) 2026</t>
        </is>
      </c>
      <c r="N241" s="4" t="inlineStr">
        <is>
          <t>181</t>
        </is>
      </c>
      <c r="O241" s="4" t="inlineStr">
        <is>
          <t>https://www.shanghairanking.cn/rankings/bcur/2026</t>
        </is>
      </c>
      <c r="P241" s="4" t="n"/>
    </row>
    <row r="242">
      <c r="A242" s="3" t="inlineStr">
        <is>
          <t>China|Nanchang University</t>
        </is>
      </c>
      <c r="B242" s="3" t="inlineStr">
        <is>
          <t>China</t>
        </is>
      </c>
      <c r="C242" s="3" t="inlineStr">
        <is>
          <t>Наньчан</t>
        </is>
      </c>
      <c r="D242" s="3" t="inlineStr">
        <is>
          <t>Nanchang University</t>
        </is>
      </c>
      <c r="E242" s="3" t="inlineStr">
        <is>
          <t>南昌大学</t>
        </is>
      </c>
      <c r="F242" s="3" t="inlineStr">
        <is>
          <t>https://www.ncu.edu.cn</t>
        </is>
      </c>
      <c r="G242" s="3" t="inlineStr"/>
      <c r="H242" s="3" t="inlineStr"/>
      <c r="I242" s="3" t="inlineStr">
        <is>
          <t>BCUR2026: 74</t>
        </is>
      </c>
      <c r="J242" s="4" t="inlineStr">
        <is>
          <t>не в рейтинге</t>
        </is>
      </c>
      <c r="K242" s="4" t="inlineStr">
        <is>
          <t>не в рейтинге</t>
        </is>
      </c>
      <c r="L242" s="4" t="inlineStr">
        <is>
          <t>нет в опубл. списке (опубликован только топ-15 страны)</t>
        </is>
      </c>
      <c r="M242" s="4" t="inlineStr">
        <is>
          <t>BCUR (ShanghaiRanking) 2026</t>
        </is>
      </c>
      <c r="N242" s="4" t="inlineStr">
        <is>
          <t>74</t>
        </is>
      </c>
      <c r="O242" s="4" t="inlineStr">
        <is>
          <t>https://www.shanghairanking.cn/rankings/bcur/2026</t>
        </is>
      </c>
      <c r="P242" s="4" t="n"/>
    </row>
    <row r="243">
      <c r="A243" s="3" t="inlineStr">
        <is>
          <t>China|Nanjing Agricultural University</t>
        </is>
      </c>
      <c r="B243" s="3" t="inlineStr">
        <is>
          <t>China</t>
        </is>
      </c>
      <c r="C243" s="3" t="inlineStr">
        <is>
          <t>Нанкин</t>
        </is>
      </c>
      <c r="D243" s="3" t="inlineStr">
        <is>
          <t>Nanjing Agricultural University</t>
        </is>
      </c>
      <c r="E243" s="3" t="inlineStr">
        <is>
          <t>南京农业大学</t>
        </is>
      </c>
      <c r="F243" s="3" t="inlineStr">
        <is>
          <t>https://www.njau.edu.cn</t>
        </is>
      </c>
      <c r="G243" s="3" t="inlineStr">
        <is>
          <t>QS2027: 901-950</t>
        </is>
      </c>
      <c r="H243" s="3" t="inlineStr"/>
      <c r="I243" s="3" t="inlineStr">
        <is>
          <t>BCUR2026: 55</t>
        </is>
      </c>
      <c r="J243" s="4" t="inlineStr">
        <is>
          <t>901–950</t>
        </is>
      </c>
      <c r="K243" s="4" t="inlineStr">
        <is>
          <t>не в рейтинге</t>
        </is>
      </c>
      <c r="L243" s="4" t="inlineStr">
        <is>
          <t>нет в опубл. списке (опубликован только топ-15 страны)</t>
        </is>
      </c>
      <c r="M243" s="4" t="inlineStr">
        <is>
          <t>BCUR (ShanghaiRanking) 2026</t>
        </is>
      </c>
      <c r="N243" s="4" t="inlineStr">
        <is>
          <t>55</t>
        </is>
      </c>
      <c r="O243" s="4" t="inlineStr">
        <is>
          <t>https://www.topuniversities.com/world-university-rankings (QS WUR 2027)
https://www.shanghairanking.cn/rankings/bcur/2026</t>
        </is>
      </c>
      <c r="P243" s="4" t="n"/>
    </row>
    <row r="244">
      <c r="A244" s="3" t="inlineStr">
        <is>
          <t>China|Nanjing Forestry University</t>
        </is>
      </c>
      <c r="B244" s="3" t="inlineStr">
        <is>
          <t>China</t>
        </is>
      </c>
      <c r="C244" s="3" t="inlineStr">
        <is>
          <t>Нанкин</t>
        </is>
      </c>
      <c r="D244" s="3" t="inlineStr">
        <is>
          <t>Nanjing Forestry University</t>
        </is>
      </c>
      <c r="E244" s="3" t="inlineStr">
        <is>
          <t>南京林业大学</t>
        </is>
      </c>
      <c r="F244" s="3" t="inlineStr">
        <is>
          <t>https://www.njfu.edu.cn</t>
        </is>
      </c>
      <c r="G244" s="3" t="inlineStr"/>
      <c r="H244" s="3" t="inlineStr">
        <is>
          <t>THE2027: 651–700</t>
        </is>
      </c>
      <c r="I244" s="3" t="inlineStr">
        <is>
          <t>BCUR2026: 93</t>
        </is>
      </c>
      <c r="J244" s="4" t="inlineStr">
        <is>
          <t>не в рейтинге</t>
        </is>
      </c>
      <c r="K244" s="4" t="inlineStr">
        <is>
          <t>651–700</t>
        </is>
      </c>
      <c r="L244" s="4" t="inlineStr">
        <is>
          <t>нет в опубл. списке (опубликован только топ-15 страны)</t>
        </is>
      </c>
      <c r="M244" s="4" t="inlineStr">
        <is>
          <t>BCUR (ShanghaiRanking) 2026</t>
        </is>
      </c>
      <c r="N244" s="4" t="inlineStr">
        <is>
          <t>93</t>
        </is>
      </c>
      <c r="O244" s="4" t="inlineStr">
        <is>
          <t>https://www.timeshighereducation.com/world-university-rankings/2027/world-ranking
https://www.shanghairanking.cn/rankings/bcur/2026</t>
        </is>
      </c>
      <c r="P244" s="4" t="n"/>
    </row>
    <row r="245">
      <c r="A245" s="3" t="inlineStr">
        <is>
          <t>China|Nanjing Tech University</t>
        </is>
      </c>
      <c r="B245" s="3" t="inlineStr">
        <is>
          <t>China</t>
        </is>
      </c>
      <c r="C245" s="3" t="inlineStr">
        <is>
          <t>Нанкин</t>
        </is>
      </c>
      <c r="D245" s="3" t="inlineStr">
        <is>
          <t>Nanjing Tech University</t>
        </is>
      </c>
      <c r="E245" s="3" t="inlineStr">
        <is>
          <t>南京工业大学</t>
        </is>
      </c>
      <c r="F245" s="3" t="inlineStr">
        <is>
          <t>https://www.njtech.edu.cn</t>
        </is>
      </c>
      <c r="G245" s="3" t="inlineStr"/>
      <c r="H245" s="3" t="inlineStr">
        <is>
          <t>THE2027: 701-800</t>
        </is>
      </c>
      <c r="I245" s="3" t="inlineStr">
        <is>
          <t>BCUR2026: 88</t>
        </is>
      </c>
      <c r="J245" s="4" t="inlineStr">
        <is>
          <t>не в рейтинге</t>
        </is>
      </c>
      <c r="K245" s="4" t="inlineStr">
        <is>
          <t>701–800</t>
        </is>
      </c>
      <c r="L245" s="4" t="inlineStr">
        <is>
          <t>нет в опубл. списке (опубликован только топ-15 страны)</t>
        </is>
      </c>
      <c r="M245" s="4" t="inlineStr">
        <is>
          <t>BCUR (ShanghaiRanking) 2026</t>
        </is>
      </c>
      <c r="N245" s="4" t="inlineStr">
        <is>
          <t>88</t>
        </is>
      </c>
      <c r="O245" s="4" t="inlineStr">
        <is>
          <t>https://www.timeshighereducation.com/world-university-rankings/2027/world-ranking
https://www.shanghairanking.cn/rankings/bcur/2026</t>
        </is>
      </c>
      <c r="P245" s="4" t="n"/>
    </row>
    <row r="246">
      <c r="A246" s="3" t="inlineStr">
        <is>
          <t>China|Nanjing University</t>
        </is>
      </c>
      <c r="B246" s="3" t="inlineStr">
        <is>
          <t>China</t>
        </is>
      </c>
      <c r="C246" s="3" t="inlineStr">
        <is>
          <t>Нанкин</t>
        </is>
      </c>
      <c r="D246" s="3" t="inlineStr">
        <is>
          <t>Nanjing University</t>
        </is>
      </c>
      <c r="E246" s="3" t="inlineStr">
        <is>
          <t>南京大学</t>
        </is>
      </c>
      <c r="F246" s="3" t="inlineStr">
        <is>
          <t>https://www.nju.edu.cn</t>
        </is>
      </c>
      <c r="G246" s="3" t="inlineStr">
        <is>
          <t>QS2027: 90</t>
        </is>
      </c>
      <c r="H246" s="3" t="inlineStr">
        <is>
          <t>THE2027: 59</t>
        </is>
      </c>
      <c r="I246" s="3" t="inlineStr">
        <is>
          <t>BCUR2026: 6</t>
        </is>
      </c>
      <c r="J246" s="4">
        <f>90</f>
        <v/>
      </c>
      <c r="K246" s="4" t="inlineStr">
        <is>
          <t>59</t>
        </is>
      </c>
      <c r="L246" s="4" t="inlineStr">
        <is>
          <t>102</t>
        </is>
      </c>
      <c r="M246" s="4" t="inlineStr">
        <is>
          <t>BCUR (ShanghaiRanking) 2026</t>
        </is>
      </c>
      <c r="N246" s="4" t="inlineStr">
        <is>
          <t>6</t>
        </is>
      </c>
      <c r="O24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246" s="4" t="n"/>
    </row>
    <row r="247">
      <c r="A247" s="3" t="inlineStr">
        <is>
          <t>China|Nanjing University of Information Science &amp; Technology</t>
        </is>
      </c>
      <c r="B247" s="3" t="inlineStr">
        <is>
          <t>China</t>
        </is>
      </c>
      <c r="C247" s="3" t="inlineStr">
        <is>
          <t>Нанкин</t>
        </is>
      </c>
      <c r="D247" s="3" t="inlineStr">
        <is>
          <t>Nanjing University of Information Science &amp; Technology</t>
        </is>
      </c>
      <c r="E247" s="3" t="inlineStr">
        <is>
          <t>南京信息工程大学</t>
        </is>
      </c>
      <c r="F247" s="3" t="inlineStr">
        <is>
          <t>https://www.nuist.edu.cn</t>
        </is>
      </c>
      <c r="G247" s="3" t="inlineStr"/>
      <c r="H247" s="3" t="inlineStr">
        <is>
          <t>THE2027: 801–1000</t>
        </is>
      </c>
      <c r="I247" s="3" t="inlineStr">
        <is>
          <t>BCUR2026: 98</t>
        </is>
      </c>
      <c r="J247" s="4" t="inlineStr">
        <is>
          <t>не в рейтинге</t>
        </is>
      </c>
      <c r="K247" s="4" t="inlineStr">
        <is>
          <t>801–1000</t>
        </is>
      </c>
      <c r="L247" s="4" t="inlineStr">
        <is>
          <t>нет в опубл. списке (опубликован только топ-15 страны)</t>
        </is>
      </c>
      <c r="M247" s="4" t="inlineStr">
        <is>
          <t>BCUR (ShanghaiRanking) 2026</t>
        </is>
      </c>
      <c r="N247" s="4" t="inlineStr">
        <is>
          <t>98</t>
        </is>
      </c>
      <c r="O247" s="4" t="inlineStr">
        <is>
          <t>https://www.timeshighereducation.com/world-university-rankings/2027/world-ranking
https://www.shanghairanking.cn/rankings/bcur/2026</t>
        </is>
      </c>
      <c r="P247" s="4" t="n"/>
    </row>
    <row r="248">
      <c r="A248" s="3" t="inlineStr">
        <is>
          <t>China|Nanjing University of Posts and Telecommunications</t>
        </is>
      </c>
      <c r="B248" s="3" t="inlineStr">
        <is>
          <t>China</t>
        </is>
      </c>
      <c r="C248" s="3" t="inlineStr">
        <is>
          <t>Нанкин</t>
        </is>
      </c>
      <c r="D248" s="3" t="inlineStr">
        <is>
          <t>Nanjing University of Posts and Telecommunications</t>
        </is>
      </c>
      <c r="E248" s="3" t="inlineStr">
        <is>
          <t>南京邮电大学</t>
        </is>
      </c>
      <c r="F248" s="3" t="inlineStr">
        <is>
          <t>https://www.njupt.edu.cn</t>
        </is>
      </c>
      <c r="G248" s="3" t="inlineStr"/>
      <c r="H248" s="3" t="inlineStr"/>
      <c r="I248" s="3" t="inlineStr">
        <is>
          <t>BCUR2026: 82</t>
        </is>
      </c>
      <c r="J248" s="4" t="inlineStr">
        <is>
          <t>не в рейтинге</t>
        </is>
      </c>
      <c r="K248" s="4" t="inlineStr">
        <is>
          <t>не в рейтинге</t>
        </is>
      </c>
      <c r="L248" s="4" t="inlineStr">
        <is>
          <t>нет в опубл. списке (опубликован только топ-15 страны)</t>
        </is>
      </c>
      <c r="M248" s="4" t="inlineStr">
        <is>
          <t>BCUR (ShanghaiRanking) 2026</t>
        </is>
      </c>
      <c r="N248" s="4" t="inlineStr">
        <is>
          <t>82</t>
        </is>
      </c>
      <c r="O248" s="4" t="inlineStr">
        <is>
          <t>https://www.shanghairanking.cn/rankings/bcur/2026</t>
        </is>
      </c>
      <c r="P248" s="4" t="n"/>
    </row>
    <row r="249">
      <c r="A249" s="3" t="inlineStr">
        <is>
          <t>China|Nanjing University of Science and Technology</t>
        </is>
      </c>
      <c r="B249" s="3" t="inlineStr">
        <is>
          <t>China</t>
        </is>
      </c>
      <c r="C249" s="3" t="inlineStr">
        <is>
          <t>Нанкин</t>
        </is>
      </c>
      <c r="D249" s="3" t="inlineStr">
        <is>
          <t>Nanjing University of Science and Technology</t>
        </is>
      </c>
      <c r="E249" s="3" t="inlineStr">
        <is>
          <t>南京理工大学</t>
        </is>
      </c>
      <c r="F249" s="3" t="inlineStr">
        <is>
          <t>https://www.njust.edu.cn</t>
        </is>
      </c>
      <c r="G249" s="3" t="inlineStr">
        <is>
          <t>QS2027: 675</t>
        </is>
      </c>
      <c r="H249" s="3" t="inlineStr">
        <is>
          <t>THE2027: 551-600</t>
        </is>
      </c>
      <c r="I249" s="3" t="inlineStr">
        <is>
          <t>BCUR2026: 36</t>
        </is>
      </c>
      <c r="J249" s="4">
        <f>675</f>
        <v/>
      </c>
      <c r="K249" s="4" t="inlineStr">
        <is>
          <t>551–600</t>
        </is>
      </c>
      <c r="L249" s="4" t="inlineStr">
        <is>
          <t>нет в опубл. списке (опубликован только топ-15 страны)</t>
        </is>
      </c>
      <c r="M249" s="4" t="inlineStr">
        <is>
          <t>BCUR (ShanghaiRanking) 2026</t>
        </is>
      </c>
      <c r="N249" s="4" t="inlineStr">
        <is>
          <t>36</t>
        </is>
      </c>
      <c r="O249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49" s="4" t="n"/>
    </row>
    <row r="250">
      <c r="A250" s="3" t="inlineStr">
        <is>
          <t>China|Nankai University</t>
        </is>
      </c>
      <c r="B250" s="3" t="inlineStr">
        <is>
          <t>China</t>
        </is>
      </c>
      <c r="C250" s="3" t="inlineStr">
        <is>
          <t>Тяньцзинь</t>
        </is>
      </c>
      <c r="D250" s="3" t="inlineStr">
        <is>
          <t>Nankai University</t>
        </is>
      </c>
      <c r="E250" s="3" t="inlineStr">
        <is>
          <t>南开大学</t>
        </is>
      </c>
      <c r="F250" s="3" t="inlineStr">
        <is>
          <t>https://www.nankai.edu.cn</t>
        </is>
      </c>
      <c r="G250" s="3" t="inlineStr">
        <is>
          <t>QS2027: =329</t>
        </is>
      </c>
      <c r="H250" s="3" t="inlineStr">
        <is>
          <t>THE2027: =173</t>
        </is>
      </c>
      <c r="I250" s="3" t="inlineStr">
        <is>
          <t>BCUR2026: 21</t>
        </is>
      </c>
      <c r="J250" s="4">
        <f>329</f>
        <v/>
      </c>
      <c r="K250" s="4">
        <f>173</f>
        <v/>
      </c>
      <c r="L250" s="4" t="inlineStr">
        <is>
          <t>нет в опубл. списке (опубликован только топ-15 страны)</t>
        </is>
      </c>
      <c r="M250" s="4" t="inlineStr">
        <is>
          <t>BCUR (ShanghaiRanking) 2026</t>
        </is>
      </c>
      <c r="N250" s="4" t="inlineStr">
        <is>
          <t>21</t>
        </is>
      </c>
      <c r="O25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50" s="4" t="n"/>
    </row>
    <row r="251">
      <c r="A251" s="3" t="inlineStr">
        <is>
          <t>China|Nantong University</t>
        </is>
      </c>
      <c r="B251" s="3" t="inlineStr">
        <is>
          <t>China</t>
        </is>
      </c>
      <c r="C251" s="3" t="inlineStr">
        <is>
          <t>Наньтун</t>
        </is>
      </c>
      <c r="D251" s="3" t="inlineStr">
        <is>
          <t>Nantong University</t>
        </is>
      </c>
      <c r="E251" s="3" t="inlineStr">
        <is>
          <t>南通大学</t>
        </is>
      </c>
      <c r="F251" s="3" t="inlineStr">
        <is>
          <t>https://www.ntu.edu.cn</t>
        </is>
      </c>
      <c r="G251" s="3" t="inlineStr"/>
      <c r="H251" s="3" t="inlineStr"/>
      <c r="I251" s="3" t="inlineStr">
        <is>
          <t>BCUR2026: 147</t>
        </is>
      </c>
      <c r="J251" s="4" t="inlineStr">
        <is>
          <t>не в рейтинге</t>
        </is>
      </c>
      <c r="K251" s="4" t="inlineStr">
        <is>
          <t>не в рейтинге</t>
        </is>
      </c>
      <c r="L251" s="4" t="inlineStr">
        <is>
          <t>нет в опубл. списке (опубликован только топ-15 страны)</t>
        </is>
      </c>
      <c r="M251" s="4" t="inlineStr">
        <is>
          <t>BCUR (ShanghaiRanking) 2026</t>
        </is>
      </c>
      <c r="N251" s="4" t="inlineStr">
        <is>
          <t>147</t>
        </is>
      </c>
      <c r="O251" s="4" t="inlineStr">
        <is>
          <t>https://www.shanghairanking.cn/rankings/bcur/2026</t>
        </is>
      </c>
      <c r="P251" s="4" t="n"/>
    </row>
    <row r="252">
      <c r="A252" s="3" t="inlineStr">
        <is>
          <t>China|National University of Defense Technology</t>
        </is>
      </c>
      <c r="B252" s="3" t="inlineStr">
        <is>
          <t>China</t>
        </is>
      </c>
      <c r="C252" s="3" t="inlineStr">
        <is>
          <t>Чанша</t>
        </is>
      </c>
      <c r="D252" s="3" t="inlineStr">
        <is>
          <t>National University of Defense Technology</t>
        </is>
      </c>
      <c r="E252" s="3" t="inlineStr">
        <is>
          <t>中国人民解放军国防科技大学</t>
        </is>
      </c>
      <c r="F252" s="3" t="inlineStr">
        <is>
          <t>https://www.nudt.edu.cn</t>
        </is>
      </c>
      <c r="G252" s="3" t="inlineStr"/>
      <c r="H252" s="3" t="inlineStr"/>
      <c r="I252" s="3" t="inlineStr"/>
      <c r="J252" s="4" t="inlineStr">
        <is>
          <t>не в рейтинге</t>
        </is>
      </c>
      <c r="K252" s="4" t="inlineStr">
        <is>
          <t>не в рейтинге</t>
        </is>
      </c>
      <c r="L252" s="4" t="inlineStr">
        <is>
          <t>нет в опубл. списке (опубликован только топ-15 страны)</t>
        </is>
      </c>
      <c r="M252" s="4" t="inlineStr">
        <is>
          <t>BCUR (ShanghaiRanking) 2026</t>
        </is>
      </c>
      <c r="N252" s="4" t="inlineStr">
        <is>
          <t>не в рейтинге</t>
        </is>
      </c>
      <c r="O252" s="4" t="inlineStr">
        <is>
          <t>https://www.shanghairanking.cn/rankings/bcur/2026</t>
        </is>
      </c>
      <c r="P252" s="4" t="n"/>
    </row>
    <row r="253">
      <c r="A253" s="3" t="inlineStr">
        <is>
          <t>China|Ningbo University</t>
        </is>
      </c>
      <c r="B253" s="3" t="inlineStr">
        <is>
          <t>China</t>
        </is>
      </c>
      <c r="C253" s="3" t="inlineStr">
        <is>
          <t>Нинбо</t>
        </is>
      </c>
      <c r="D253" s="3" t="inlineStr">
        <is>
          <t>Ningbo University</t>
        </is>
      </c>
      <c r="E253" s="3" t="inlineStr">
        <is>
          <t>宁波大学</t>
        </is>
      </c>
      <c r="F253" s="3" t="inlineStr">
        <is>
          <t>https://www.nbu.edu.cn</t>
        </is>
      </c>
      <c r="G253" s="3" t="inlineStr"/>
      <c r="H253" s="3" t="inlineStr"/>
      <c r="I253" s="3" t="inlineStr">
        <is>
          <t>BCUR2026: 78</t>
        </is>
      </c>
      <c r="J253" s="4" t="inlineStr">
        <is>
          <t>1001–1200</t>
        </is>
      </c>
      <c r="K253" s="4" t="inlineStr">
        <is>
          <t>не в рейтинге</t>
        </is>
      </c>
      <c r="L253" s="4" t="inlineStr">
        <is>
          <t>нет в опубл. списке (опубликован только топ-15 страны)</t>
        </is>
      </c>
      <c r="M253" s="4" t="inlineStr">
        <is>
          <t>BCUR (ShanghaiRanking) 2026</t>
        </is>
      </c>
      <c r="N253" s="4" t="inlineStr">
        <is>
          <t>78</t>
        </is>
      </c>
      <c r="O253" s="4" t="inlineStr">
        <is>
          <t>https://www.topuniversities.com/world-university-rankings (QS WUR 2027)
https://www.shanghairanking.cn/rankings/bcur/2026</t>
        </is>
      </c>
      <c r="P253" s="4" t="n"/>
    </row>
    <row r="254">
      <c r="A254" s="3" t="inlineStr">
        <is>
          <t>China|Ningxia University</t>
        </is>
      </c>
      <c r="B254" s="3" t="inlineStr">
        <is>
          <t>China</t>
        </is>
      </c>
      <c r="C254" s="3" t="inlineStr">
        <is>
          <t>Иньчуань</t>
        </is>
      </c>
      <c r="D254" s="3" t="inlineStr">
        <is>
          <t>Ningxia University</t>
        </is>
      </c>
      <c r="E254" s="3" t="inlineStr">
        <is>
          <t>宁夏大学</t>
        </is>
      </c>
      <c r="F254" s="3" t="inlineStr">
        <is>
          <t>https://www.nxu.edu.cn</t>
        </is>
      </c>
      <c r="G254" s="3" t="inlineStr"/>
      <c r="H254" s="3" t="inlineStr"/>
      <c r="I254" s="3" t="inlineStr">
        <is>
          <t>BCUR2026: 137</t>
        </is>
      </c>
      <c r="J254" s="4" t="inlineStr">
        <is>
          <t>не в рейтинге</t>
        </is>
      </c>
      <c r="K254" s="4" t="inlineStr">
        <is>
          <t>не в рейтинге</t>
        </is>
      </c>
      <c r="L254" s="4" t="inlineStr">
        <is>
          <t>нет в опубл. списке (опубликован только топ-15 страны)</t>
        </is>
      </c>
      <c r="M254" s="4" t="inlineStr">
        <is>
          <t>BCUR (ShanghaiRanking) 2026</t>
        </is>
      </c>
      <c r="N254" s="4" t="inlineStr">
        <is>
          <t>137</t>
        </is>
      </c>
      <c r="O254" s="4" t="inlineStr">
        <is>
          <t>https://www.shanghairanking.cn/rankings/bcur/2026</t>
        </is>
      </c>
      <c r="P254" s="4" t="n"/>
    </row>
    <row r="255">
      <c r="A255" s="3" t="inlineStr">
        <is>
          <t>China|North China Electric Power University</t>
        </is>
      </c>
      <c r="B255" s="3" t="inlineStr">
        <is>
          <t>China</t>
        </is>
      </c>
      <c r="C255" s="3" t="inlineStr">
        <is>
          <t>Пекин</t>
        </is>
      </c>
      <c r="D255" s="3" t="inlineStr">
        <is>
          <t>North China Electric Power University</t>
        </is>
      </c>
      <c r="E255" s="3" t="inlineStr">
        <is>
          <t>华北电力大学</t>
        </is>
      </c>
      <c r="F255" s="3" t="inlineStr">
        <is>
          <t>https://www.ncepu.edu.cn</t>
        </is>
      </c>
      <c r="G255" s="3" t="inlineStr"/>
      <c r="H255" s="3" t="inlineStr">
        <is>
          <t>THE2027: 801–1000</t>
        </is>
      </c>
      <c r="I255" s="3" t="inlineStr">
        <is>
          <t>BCUR2026: 84</t>
        </is>
      </c>
      <c r="J255" s="4" t="inlineStr">
        <is>
          <t>не в рейтинге</t>
        </is>
      </c>
      <c r="K255" s="4" t="inlineStr">
        <is>
          <t>801–1000</t>
        </is>
      </c>
      <c r="L255" s="4" t="inlineStr">
        <is>
          <t>нет в опубл. списке (опубликован только топ-15 страны)</t>
        </is>
      </c>
      <c r="M255" s="4" t="inlineStr">
        <is>
          <t>BCUR (ShanghaiRanking) 2026</t>
        </is>
      </c>
      <c r="N255" s="4" t="inlineStr">
        <is>
          <t>84</t>
        </is>
      </c>
      <c r="O255" s="4" t="inlineStr">
        <is>
          <t>https://www.timeshighereducation.com/world-university-rankings/2027/world-ranking
https://www.shanghairanking.cn/rankings/bcur/2026</t>
        </is>
      </c>
      <c r="P255" s="4" t="n"/>
    </row>
    <row r="256">
      <c r="A256" s="3" t="inlineStr">
        <is>
          <t>China|North University of China</t>
        </is>
      </c>
      <c r="B256" s="3" t="inlineStr">
        <is>
          <t>China</t>
        </is>
      </c>
      <c r="C256" s="3" t="inlineStr">
        <is>
          <t>Тайюань</t>
        </is>
      </c>
      <c r="D256" s="3" t="inlineStr">
        <is>
          <t>North University of China</t>
        </is>
      </c>
      <c r="E256" s="3" t="inlineStr">
        <is>
          <t>中北大学</t>
        </is>
      </c>
      <c r="F256" s="3" t="inlineStr">
        <is>
          <t>https://www.nuc.edu.cn</t>
        </is>
      </c>
      <c r="G256" s="3" t="inlineStr"/>
      <c r="H256" s="3" t="inlineStr"/>
      <c r="I256" s="3" t="inlineStr">
        <is>
          <t>BCUR2026: 144</t>
        </is>
      </c>
      <c r="J256" s="4" t="inlineStr">
        <is>
          <t>не в рейтинге</t>
        </is>
      </c>
      <c r="K256" s="4" t="inlineStr">
        <is>
          <t>не в рейтинге</t>
        </is>
      </c>
      <c r="L256" s="4" t="inlineStr">
        <is>
          <t>нет в опубл. списке (опубликован только топ-15 страны)</t>
        </is>
      </c>
      <c r="M256" s="4" t="inlineStr">
        <is>
          <t>BCUR (ShanghaiRanking) 2026</t>
        </is>
      </c>
      <c r="N256" s="4" t="inlineStr">
        <is>
          <t>144</t>
        </is>
      </c>
      <c r="O256" s="4" t="inlineStr">
        <is>
          <t>https://www.shanghairanking.cn/rankings/bcur/2026</t>
        </is>
      </c>
      <c r="P256" s="4" t="n"/>
    </row>
    <row r="257">
      <c r="A257" s="3" t="inlineStr">
        <is>
          <t>China|Northeast Agricultural University</t>
        </is>
      </c>
      <c r="B257" s="3" t="inlineStr">
        <is>
          <t>China</t>
        </is>
      </c>
      <c r="C257" s="3" t="inlineStr">
        <is>
          <t>Харбин</t>
        </is>
      </c>
      <c r="D257" s="3" t="inlineStr">
        <is>
          <t>Northeast Agricultural University</t>
        </is>
      </c>
      <c r="E257" s="3" t="inlineStr">
        <is>
          <t>东北农业大学</t>
        </is>
      </c>
      <c r="F257" s="3" t="inlineStr">
        <is>
          <t>https://www.neau.edu.cn</t>
        </is>
      </c>
      <c r="G257" s="3" t="inlineStr"/>
      <c r="H257" s="3" t="inlineStr"/>
      <c r="I257" s="3" t="inlineStr">
        <is>
          <t>BCUR2026: 120</t>
        </is>
      </c>
      <c r="J257" s="4" t="inlineStr">
        <is>
          <t>не в рейтинге</t>
        </is>
      </c>
      <c r="K257" s="4" t="inlineStr">
        <is>
          <t>не в рейтинге</t>
        </is>
      </c>
      <c r="L257" s="4" t="inlineStr">
        <is>
          <t>нет в опубл. списке (опубликован только топ-15 страны)</t>
        </is>
      </c>
      <c r="M257" s="4" t="inlineStr">
        <is>
          <t>BCUR (ShanghaiRanking) 2026</t>
        </is>
      </c>
      <c r="N257" s="4" t="inlineStr">
        <is>
          <t>120</t>
        </is>
      </c>
      <c r="O257" s="4" t="inlineStr">
        <is>
          <t>https://www.shanghairanking.cn/rankings/bcur/2026</t>
        </is>
      </c>
      <c r="P257" s="4" t="n"/>
    </row>
    <row r="258">
      <c r="A258" s="3" t="inlineStr">
        <is>
          <t>China|Northeast Forestry University</t>
        </is>
      </c>
      <c r="B258" s="3" t="inlineStr">
        <is>
          <t>China</t>
        </is>
      </c>
      <c r="C258" s="3" t="inlineStr">
        <is>
          <t>Харбин</t>
        </is>
      </c>
      <c r="D258" s="3" t="inlineStr">
        <is>
          <t>Northeast Forestry University</t>
        </is>
      </c>
      <c r="E258" s="3" t="inlineStr">
        <is>
          <t>东北林业大学</t>
        </is>
      </c>
      <c r="F258" s="3" t="inlineStr">
        <is>
          <t>https://www.nefu.edu.cn</t>
        </is>
      </c>
      <c r="G258" s="3" t="inlineStr"/>
      <c r="H258" s="3" t="inlineStr"/>
      <c r="I258" s="3" t="inlineStr">
        <is>
          <t>BCUR2026: 115</t>
        </is>
      </c>
      <c r="J258" s="4" t="inlineStr">
        <is>
          <t>не в рейтинге</t>
        </is>
      </c>
      <c r="K258" s="4" t="inlineStr">
        <is>
          <t>не в рейтинге</t>
        </is>
      </c>
      <c r="L258" s="4" t="inlineStr">
        <is>
          <t>нет в опубл. списке (опубликован только топ-15 страны)</t>
        </is>
      </c>
      <c r="M258" s="4" t="inlineStr">
        <is>
          <t>BCUR (ShanghaiRanking) 2026</t>
        </is>
      </c>
      <c r="N258" s="4" t="inlineStr">
        <is>
          <t>115</t>
        </is>
      </c>
      <c r="O258" s="4" t="inlineStr">
        <is>
          <t>https://www.shanghairanking.cn/rankings/bcur/2026</t>
        </is>
      </c>
      <c r="P258" s="4" t="n"/>
    </row>
    <row r="259">
      <c r="A259" s="3" t="inlineStr">
        <is>
          <t>China|Northeast Normal University</t>
        </is>
      </c>
      <c r="B259" s="3" t="inlineStr">
        <is>
          <t>China</t>
        </is>
      </c>
      <c r="C259" s="3" t="inlineStr">
        <is>
          <t>Чанчунь</t>
        </is>
      </c>
      <c r="D259" s="3" t="inlineStr">
        <is>
          <t>Northeast Normal University</t>
        </is>
      </c>
      <c r="E259" s="3" t="inlineStr">
        <is>
          <t>东北师范大学</t>
        </is>
      </c>
      <c r="F259" s="3" t="inlineStr">
        <is>
          <t>https://www.nenu.edu.cn</t>
        </is>
      </c>
      <c r="G259" s="3" t="inlineStr"/>
      <c r="H259" s="3" t="inlineStr">
        <is>
          <t>THE2027: 701–800</t>
        </is>
      </c>
      <c r="I259" s="3" t="inlineStr">
        <is>
          <t>BCUR2026: 48</t>
        </is>
      </c>
      <c r="J259" s="4" t="inlineStr">
        <is>
          <t>не в рейтинге</t>
        </is>
      </c>
      <c r="K259" s="4" t="inlineStr">
        <is>
          <t>701–800</t>
        </is>
      </c>
      <c r="L259" s="4" t="inlineStr">
        <is>
          <t>нет в опубл. списке (опубликован только топ-15 страны)</t>
        </is>
      </c>
      <c r="M259" s="4" t="inlineStr">
        <is>
          <t>BCUR (ShanghaiRanking) 2026</t>
        </is>
      </c>
      <c r="N259" s="4" t="inlineStr">
        <is>
          <t>48</t>
        </is>
      </c>
      <c r="O259" s="4" t="inlineStr">
        <is>
          <t>https://www.timeshighereducation.com/world-university-rankings/2027/world-ranking
https://www.shanghairanking.cn/rankings/bcur/2026</t>
        </is>
      </c>
      <c r="P259" s="4" t="n"/>
    </row>
    <row r="260">
      <c r="A260" s="3" t="inlineStr">
        <is>
          <t>China|Northeastern University</t>
        </is>
      </c>
      <c r="B260" s="3" t="inlineStr">
        <is>
          <t>China</t>
        </is>
      </c>
      <c r="C260" s="3" t="inlineStr">
        <is>
          <t>Шэньян</t>
        </is>
      </c>
      <c r="D260" s="3" t="inlineStr">
        <is>
          <t>Northeastern University</t>
        </is>
      </c>
      <c r="E260" s="3" t="inlineStr">
        <is>
          <t>东北大学</t>
        </is>
      </c>
      <c r="F260" s="3" t="inlineStr">
        <is>
          <t>https://www.neu.edu.cn</t>
        </is>
      </c>
      <c r="G260" s="3" t="inlineStr"/>
      <c r="H260" s="3" t="inlineStr">
        <is>
          <t>THE2027: 451–500</t>
        </is>
      </c>
      <c r="I260" s="3" t="inlineStr">
        <is>
          <t>BCUR2026: 38</t>
        </is>
      </c>
      <c r="J260" s="4" t="inlineStr">
        <is>
          <t>не в рейтинге</t>
        </is>
      </c>
      <c r="K260" s="4" t="inlineStr">
        <is>
          <t>451–500</t>
        </is>
      </c>
      <c r="L260" s="4" t="inlineStr">
        <is>
          <t>нет в опубл. списке (опубликован только топ-15 страны)</t>
        </is>
      </c>
      <c r="M260" s="4" t="inlineStr">
        <is>
          <t>BCUR (ShanghaiRanking) 2026</t>
        </is>
      </c>
      <c r="N260" s="4" t="inlineStr">
        <is>
          <t>38</t>
        </is>
      </c>
      <c r="O260" s="4" t="inlineStr">
        <is>
          <t>https://www.timeshighereducation.com/world-university-rankings/2027/world-ranking
https://www.shanghairanking.cn/rankings/bcur/2026</t>
        </is>
      </c>
      <c r="P260" s="4" t="inlineStr">
        <is>
          <t>THE: в таблице как «Northeastern University, China»</t>
        </is>
      </c>
    </row>
    <row r="261">
      <c r="A261" s="3" t="inlineStr">
        <is>
          <t>China|Northwest A&amp;F University</t>
        </is>
      </c>
      <c r="B261" s="3" t="inlineStr">
        <is>
          <t>China</t>
        </is>
      </c>
      <c r="C261" s="3" t="inlineStr">
        <is>
          <t>Янлин (пров. Шэньси)</t>
        </is>
      </c>
      <c r="D261" s="3" t="inlineStr">
        <is>
          <t>Northwest A&amp;F University</t>
        </is>
      </c>
      <c r="E261" s="3" t="inlineStr">
        <is>
          <t>西北农林科技大学</t>
        </is>
      </c>
      <c r="F261" s="3" t="inlineStr">
        <is>
          <t>https://www.nwafu.edu.cn</t>
        </is>
      </c>
      <c r="G261" s="3" t="inlineStr"/>
      <c r="H261" s="3" t="inlineStr">
        <is>
          <t>THE2022: 801–1000 (not listed in later editions)</t>
        </is>
      </c>
      <c r="I261" s="3" t="inlineStr">
        <is>
          <t>BCUR2026: 69</t>
        </is>
      </c>
      <c r="J261" s="4" t="inlineStr">
        <is>
          <t>не в рейтинге</t>
        </is>
      </c>
      <c r="K261" s="4" t="inlineStr">
        <is>
          <t>не в рейтинге</t>
        </is>
      </c>
      <c r="L261" s="4" t="inlineStr">
        <is>
          <t>нет в опубл. списке (опубликован только топ-15 страны)</t>
        </is>
      </c>
      <c r="M261" s="4" t="inlineStr">
        <is>
          <t>BCUR (ShanghaiRanking) 2026</t>
        </is>
      </c>
      <c r="N261" s="4" t="inlineStr">
        <is>
          <t>69</t>
        </is>
      </c>
      <c r="O261" s="4" t="inlineStr">
        <is>
          <t>https://www.shanghairanking.cn/rankings/bcur/2026</t>
        </is>
      </c>
      <c r="P261" s="4" t="n"/>
    </row>
    <row r="262">
      <c r="A262" s="3" t="inlineStr">
        <is>
          <t>China|Northwest University</t>
        </is>
      </c>
      <c r="B262" s="3" t="inlineStr">
        <is>
          <t>China</t>
        </is>
      </c>
      <c r="C262" s="3" t="inlineStr">
        <is>
          <t>Сиань</t>
        </is>
      </c>
      <c r="D262" s="3" t="inlineStr">
        <is>
          <t>Northwest University</t>
        </is>
      </c>
      <c r="E262" s="3" t="inlineStr">
        <is>
          <t>西北大学</t>
        </is>
      </c>
      <c r="F262" s="3" t="inlineStr">
        <is>
          <t>https://www.nwu.edu.cn</t>
        </is>
      </c>
      <c r="G262" s="3" t="inlineStr">
        <is>
          <t>QS2027: 1001-1200</t>
        </is>
      </c>
      <c r="H262" s="3" t="inlineStr">
        <is>
          <t>THE2027: 1001–1200</t>
        </is>
      </c>
      <c r="I262" s="3" t="inlineStr">
        <is>
          <t>BCUR2026: 70</t>
        </is>
      </c>
      <c r="J262" s="4" t="inlineStr">
        <is>
          <t>1001–1200</t>
        </is>
      </c>
      <c r="K262" s="4" t="inlineStr">
        <is>
          <t>1001–1200</t>
        </is>
      </c>
      <c r="L262" s="4" t="inlineStr">
        <is>
          <t>нет в опубл. списке (опубликован только топ-15 страны)</t>
        </is>
      </c>
      <c r="M262" s="4" t="inlineStr">
        <is>
          <t>BCUR (ShanghaiRanking) 2026</t>
        </is>
      </c>
      <c r="N262" s="4" t="inlineStr">
        <is>
          <t>70</t>
        </is>
      </c>
      <c r="O262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62" s="4" t="n"/>
    </row>
    <row r="263">
      <c r="A263" s="3" t="inlineStr">
        <is>
          <t>China|Northwestern Polytechnical University</t>
        </is>
      </c>
      <c r="B263" s="3" t="inlineStr">
        <is>
          <t>China</t>
        </is>
      </c>
      <c r="C263" s="3" t="inlineStr">
        <is>
          <t>Сиань</t>
        </is>
      </c>
      <c r="D263" s="3" t="inlineStr">
        <is>
          <t>Northwestern Polytechnical University</t>
        </is>
      </c>
      <c r="E263" s="3" t="inlineStr">
        <is>
          <t>西北工业大学</t>
        </is>
      </c>
      <c r="F263" s="3" t="inlineStr">
        <is>
          <t>https://www.nwpu.edu.cn</t>
        </is>
      </c>
      <c r="G263" s="3" t="inlineStr">
        <is>
          <t>QS2027: 425</t>
        </is>
      </c>
      <c r="H263" s="3" t="inlineStr">
        <is>
          <t>THE2027: =224</t>
        </is>
      </c>
      <c r="I263" s="3" t="inlineStr">
        <is>
          <t>BCUR2026: 23</t>
        </is>
      </c>
      <c r="J263" s="4">
        <f>425</f>
        <v/>
      </c>
      <c r="K263" s="4">
        <f>224</f>
        <v/>
      </c>
      <c r="L263" s="4" t="inlineStr">
        <is>
          <t>нет в опубл. списке (опубликован только топ-15 страны)</t>
        </is>
      </c>
      <c r="M263" s="4" t="inlineStr">
        <is>
          <t>BCUR (ShanghaiRanking) 2026</t>
        </is>
      </c>
      <c r="N263" s="4" t="inlineStr">
        <is>
          <t>23</t>
        </is>
      </c>
      <c r="O263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63" s="4" t="n"/>
    </row>
    <row r="264">
      <c r="A264" s="3" t="inlineStr">
        <is>
          <t>China|Ocean University of China</t>
        </is>
      </c>
      <c r="B264" s="3" t="inlineStr">
        <is>
          <t>China</t>
        </is>
      </c>
      <c r="C264" s="3" t="inlineStr">
        <is>
          <t>Циндао</t>
        </is>
      </c>
      <c r="D264" s="3" t="inlineStr">
        <is>
          <t>Ocean University of China</t>
        </is>
      </c>
      <c r="E264" s="3" t="inlineStr">
        <is>
          <t>中国海洋大学</t>
        </is>
      </c>
      <c r="F264" s="3" t="inlineStr">
        <is>
          <t>https://www.ouc.edu.cn</t>
        </is>
      </c>
      <c r="G264" s="3" t="inlineStr">
        <is>
          <t>QS2027: 801-850</t>
        </is>
      </c>
      <c r="H264" s="3" t="inlineStr">
        <is>
          <t>THE2027: 601-650</t>
        </is>
      </c>
      <c r="I264" s="3" t="inlineStr">
        <is>
          <t>BCUR2026: 51</t>
        </is>
      </c>
      <c r="J264" s="4" t="inlineStr">
        <is>
          <t>801–850</t>
        </is>
      </c>
      <c r="K264" s="4" t="inlineStr">
        <is>
          <t>601–650</t>
        </is>
      </c>
      <c r="L264" s="4" t="inlineStr">
        <is>
          <t>нет в опубл. списке (опубликован только топ-15 страны)</t>
        </is>
      </c>
      <c r="M264" s="4" t="inlineStr">
        <is>
          <t>BCUR (ShanghaiRanking) 2026</t>
        </is>
      </c>
      <c r="N264" s="4" t="inlineStr">
        <is>
          <t>51</t>
        </is>
      </c>
      <c r="O264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64" s="4" t="n"/>
    </row>
    <row r="265">
      <c r="A265" s="3" t="inlineStr">
        <is>
          <t>China|Peking University</t>
        </is>
      </c>
      <c r="B265" s="3" t="inlineStr">
        <is>
          <t>China</t>
        </is>
      </c>
      <c r="C265" s="3" t="inlineStr">
        <is>
          <t>Пекин</t>
        </is>
      </c>
      <c r="D265" s="3" t="inlineStr">
        <is>
          <t>Peking University</t>
        </is>
      </c>
      <c r="E265" s="3" t="inlineStr">
        <is>
          <t>北京大学</t>
        </is>
      </c>
      <c r="F265" s="3" t="inlineStr">
        <is>
          <t>https://www.pku.edu.cn</t>
        </is>
      </c>
      <c r="G265" s="3" t="inlineStr">
        <is>
          <t>QS2027: 13</t>
        </is>
      </c>
      <c r="H265" s="3" t="inlineStr">
        <is>
          <t>THE2027: 13</t>
        </is>
      </c>
      <c r="I265" s="3" t="inlineStr">
        <is>
          <t>BCUR2026: 2</t>
        </is>
      </c>
      <c r="J265" s="4" t="inlineStr">
        <is>
          <t>13</t>
        </is>
      </c>
      <c r="K265" s="4" t="inlineStr">
        <is>
          <t>13</t>
        </is>
      </c>
      <c r="L265" s="4" t="inlineStr">
        <is>
          <t>18</t>
        </is>
      </c>
      <c r="M265" s="4" t="inlineStr">
        <is>
          <t>BCUR (ShanghaiRanking) 2026</t>
        </is>
      </c>
      <c r="N265" s="4" t="inlineStr">
        <is>
          <t>2</t>
        </is>
      </c>
      <c r="O26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265" s="4" t="n"/>
    </row>
    <row r="266">
      <c r="A266" s="3" t="inlineStr">
        <is>
          <t>China|Qilu University of Technology</t>
        </is>
      </c>
      <c r="B266" s="3" t="inlineStr">
        <is>
          <t>China</t>
        </is>
      </c>
      <c r="C266" s="3" t="inlineStr">
        <is>
          <t>Цзинань</t>
        </is>
      </c>
      <c r="D266" s="3" t="inlineStr">
        <is>
          <t>Qilu University of Technology</t>
        </is>
      </c>
      <c r="E266" s="3" t="inlineStr">
        <is>
          <t>齐鲁工业大学</t>
        </is>
      </c>
      <c r="F266" s="3" t="inlineStr">
        <is>
          <t>https://www.qlu.edu.cn</t>
        </is>
      </c>
      <c r="G266" s="3" t="inlineStr"/>
      <c r="H266" s="3" t="inlineStr"/>
      <c r="I266" s="3" t="inlineStr">
        <is>
          <t>BCUR2026: 151</t>
        </is>
      </c>
      <c r="J266" s="4" t="inlineStr">
        <is>
          <t>не в рейтинге</t>
        </is>
      </c>
      <c r="K266" s="4" t="inlineStr">
        <is>
          <t>не в рейтинге</t>
        </is>
      </c>
      <c r="L266" s="4" t="inlineStr">
        <is>
          <t>нет в опубл. списке (опубликован только топ-15 страны)</t>
        </is>
      </c>
      <c r="M266" s="4" t="inlineStr">
        <is>
          <t>BCUR (ShanghaiRanking) 2026</t>
        </is>
      </c>
      <c r="N266" s="4" t="inlineStr">
        <is>
          <t>151</t>
        </is>
      </c>
      <c r="O266" s="4" t="inlineStr">
        <is>
          <t>https://www.shanghairanking.cn/rankings/bcur/2026</t>
        </is>
      </c>
      <c r="P266" s="4" t="n"/>
    </row>
    <row r="267">
      <c r="A267" s="3" t="inlineStr">
        <is>
          <t>China|Qingdao University</t>
        </is>
      </c>
      <c r="B267" s="3" t="inlineStr">
        <is>
          <t>China</t>
        </is>
      </c>
      <c r="C267" s="3" t="inlineStr">
        <is>
          <t>Циндао</t>
        </is>
      </c>
      <c r="D267" s="3" t="inlineStr">
        <is>
          <t>Qingdao University</t>
        </is>
      </c>
      <c r="E267" s="3" t="inlineStr">
        <is>
          <t>青岛大学</t>
        </is>
      </c>
      <c r="F267" s="3" t="inlineStr">
        <is>
          <t>https://www.qdu.edu.cn</t>
        </is>
      </c>
      <c r="G267" s="3" t="inlineStr"/>
      <c r="H267" s="3" t="inlineStr">
        <is>
          <t>THE2027: 701–800</t>
        </is>
      </c>
      <c r="I267" s="3" t="inlineStr">
        <is>
          <t>BCUR2026: 108</t>
        </is>
      </c>
      <c r="J267" s="4" t="inlineStr">
        <is>
          <t>не в рейтинге</t>
        </is>
      </c>
      <c r="K267" s="4" t="inlineStr">
        <is>
          <t>701–800</t>
        </is>
      </c>
      <c r="L267" s="4" t="inlineStr">
        <is>
          <t>нет в опубл. списке (опубликован только топ-15 страны)</t>
        </is>
      </c>
      <c r="M267" s="4" t="inlineStr">
        <is>
          <t>BCUR (ShanghaiRanking) 2026</t>
        </is>
      </c>
      <c r="N267" s="4" t="inlineStr">
        <is>
          <t>108</t>
        </is>
      </c>
      <c r="O267" s="4" t="inlineStr">
        <is>
          <t>https://www.timeshighereducation.com/world-university-rankings/2027/world-ranking
https://www.shanghairanking.cn/rankings/bcur/2026</t>
        </is>
      </c>
      <c r="P267" s="4" t="n"/>
    </row>
    <row r="268">
      <c r="A268" s="3" t="inlineStr">
        <is>
          <t>China|Qingdao University of Science &amp; Technology</t>
        </is>
      </c>
      <c r="B268" s="3" t="inlineStr">
        <is>
          <t>China</t>
        </is>
      </c>
      <c r="C268" s="3" t="inlineStr">
        <is>
          <t>Циндао</t>
        </is>
      </c>
      <c r="D268" s="3" t="inlineStr">
        <is>
          <t>Qingdao University of Science &amp; Technology</t>
        </is>
      </c>
      <c r="E268" s="3" t="inlineStr">
        <is>
          <t>青岛科技大学</t>
        </is>
      </c>
      <c r="F268" s="3" t="inlineStr">
        <is>
          <t>https://www.qust.edu.cn</t>
        </is>
      </c>
      <c r="G268" s="3" t="inlineStr"/>
      <c r="H268" s="3" t="inlineStr"/>
      <c r="I268" s="3" t="inlineStr">
        <is>
          <t>BCUR2026: 167</t>
        </is>
      </c>
      <c r="J268" s="4" t="inlineStr">
        <is>
          <t>не в рейтинге</t>
        </is>
      </c>
      <c r="K268" s="4" t="inlineStr">
        <is>
          <t>не в рейтинге</t>
        </is>
      </c>
      <c r="L268" s="4" t="inlineStr">
        <is>
          <t>нет в опубл. списке (опубликован только топ-15 страны)</t>
        </is>
      </c>
      <c r="M268" s="4" t="inlineStr">
        <is>
          <t>BCUR (ShanghaiRanking) 2026</t>
        </is>
      </c>
      <c r="N268" s="4" t="inlineStr">
        <is>
          <t>167</t>
        </is>
      </c>
      <c r="O268" s="4" t="inlineStr">
        <is>
          <t>https://www.shanghairanking.cn/rankings/bcur/2026</t>
        </is>
      </c>
      <c r="P268" s="4" t="n"/>
    </row>
    <row r="269">
      <c r="A269" s="3" t="inlineStr">
        <is>
          <t>China|Qufu Normal University</t>
        </is>
      </c>
      <c r="B269" s="3" t="inlineStr">
        <is>
          <t>China</t>
        </is>
      </c>
      <c r="C269" s="3" t="inlineStr">
        <is>
          <t>Цюйфу</t>
        </is>
      </c>
      <c r="D269" s="3" t="inlineStr">
        <is>
          <t>Qufu Normal University</t>
        </is>
      </c>
      <c r="E269" s="3" t="inlineStr">
        <is>
          <t>曲阜师范大学</t>
        </is>
      </c>
      <c r="F269" s="3" t="inlineStr">
        <is>
          <t>https://www.qfnu.edu.cn</t>
        </is>
      </c>
      <c r="G269" s="3" t="inlineStr"/>
      <c r="H269" s="3" t="inlineStr"/>
      <c r="I269" s="3" t="inlineStr">
        <is>
          <t>BCUR2026: 164</t>
        </is>
      </c>
      <c r="J269" s="4" t="inlineStr">
        <is>
          <t>не в рейтинге</t>
        </is>
      </c>
      <c r="K269" s="4" t="inlineStr">
        <is>
          <t>не в рейтинге</t>
        </is>
      </c>
      <c r="L269" s="4" t="inlineStr">
        <is>
          <t>нет в опубл. списке (опубликован только топ-15 страны)</t>
        </is>
      </c>
      <c r="M269" s="4" t="inlineStr">
        <is>
          <t>BCUR (ShanghaiRanking) 2026</t>
        </is>
      </c>
      <c r="N269" s="4" t="inlineStr">
        <is>
          <t>164</t>
        </is>
      </c>
      <c r="O269" s="4" t="inlineStr">
        <is>
          <t>https://www.shanghairanking.cn/rankings/bcur/2026</t>
        </is>
      </c>
      <c r="P269" s="4" t="n"/>
    </row>
    <row r="270">
      <c r="A270" s="3" t="inlineStr">
        <is>
          <t>China|Shaanxi Normal University</t>
        </is>
      </c>
      <c r="B270" s="3" t="inlineStr">
        <is>
          <t>China</t>
        </is>
      </c>
      <c r="C270" s="3" t="inlineStr">
        <is>
          <t>Сиань</t>
        </is>
      </c>
      <c r="D270" s="3" t="inlineStr">
        <is>
          <t>Shaanxi Normal University</t>
        </is>
      </c>
      <c r="E270" s="3" t="inlineStr">
        <is>
          <t>陕西师范大学</t>
        </is>
      </c>
      <c r="F270" s="3" t="inlineStr">
        <is>
          <t>https://www.snnu.edu.cn</t>
        </is>
      </c>
      <c r="G270" s="3" t="inlineStr">
        <is>
          <t>QS2027: 1001-1200</t>
        </is>
      </c>
      <c r="H270" s="3" t="inlineStr"/>
      <c r="I270" s="3" t="inlineStr">
        <is>
          <t>BCUR2026: 63</t>
        </is>
      </c>
      <c r="J270" s="4" t="inlineStr">
        <is>
          <t>1001–1200</t>
        </is>
      </c>
      <c r="K270" s="4" t="inlineStr">
        <is>
          <t>не в рейтинге</t>
        </is>
      </c>
      <c r="L270" s="4" t="inlineStr">
        <is>
          <t>нет в опубл. списке (опубликован только топ-15 страны)</t>
        </is>
      </c>
      <c r="M270" s="4" t="inlineStr">
        <is>
          <t>BCUR (ShanghaiRanking) 2026</t>
        </is>
      </c>
      <c r="N270" s="4" t="inlineStr">
        <is>
          <t>63</t>
        </is>
      </c>
      <c r="O270" s="4" t="inlineStr">
        <is>
          <t>https://www.topuniversities.com/world-university-rankings (QS WUR 2027)
https://www.shanghairanking.cn/rankings/bcur/2026</t>
        </is>
      </c>
      <c r="P270" s="4" t="n"/>
    </row>
    <row r="271">
      <c r="A271" s="3" t="inlineStr">
        <is>
          <t>China|Shaanxi University of Science &amp; Technology</t>
        </is>
      </c>
      <c r="B271" s="3" t="inlineStr">
        <is>
          <t>China</t>
        </is>
      </c>
      <c r="C271" s="3" t="inlineStr">
        <is>
          <t>Сиань</t>
        </is>
      </c>
      <c r="D271" s="3" t="inlineStr">
        <is>
          <t>Shaanxi University of Science &amp; Technology</t>
        </is>
      </c>
      <c r="E271" s="3" t="inlineStr">
        <is>
          <t>陕西科技大学</t>
        </is>
      </c>
      <c r="F271" s="3" t="inlineStr">
        <is>
          <t>https://www.sust.edu.cn</t>
        </is>
      </c>
      <c r="G271" s="3" t="inlineStr"/>
      <c r="H271" s="3" t="inlineStr"/>
      <c r="I271" s="3" t="inlineStr">
        <is>
          <t>BCUR2026: 132</t>
        </is>
      </c>
      <c r="J271" s="4" t="inlineStr">
        <is>
          <t>не в рейтинге</t>
        </is>
      </c>
      <c r="K271" s="4" t="inlineStr">
        <is>
          <t>не в рейтинге</t>
        </is>
      </c>
      <c r="L271" s="4" t="inlineStr">
        <is>
          <t>нет в опубл. списке (опубликован только топ-15 страны)</t>
        </is>
      </c>
      <c r="M271" s="4" t="inlineStr">
        <is>
          <t>BCUR (ShanghaiRanking) 2026</t>
        </is>
      </c>
      <c r="N271" s="4" t="inlineStr">
        <is>
          <t>132</t>
        </is>
      </c>
      <c r="O271" s="4" t="inlineStr">
        <is>
          <t>https://www.shanghairanking.cn/rankings/bcur/2026</t>
        </is>
      </c>
      <c r="P271" s="4" t="n"/>
    </row>
    <row r="272">
      <c r="A272" s="3" t="inlineStr">
        <is>
          <t>China|Shandong Agricultural University</t>
        </is>
      </c>
      <c r="B272" s="3" t="inlineStr">
        <is>
          <t>China</t>
        </is>
      </c>
      <c r="C272" s="3" t="inlineStr">
        <is>
          <t>Тайань</t>
        </is>
      </c>
      <c r="D272" s="3" t="inlineStr">
        <is>
          <t>Shandong Agricultural University</t>
        </is>
      </c>
      <c r="E272" s="3" t="inlineStr">
        <is>
          <t>山东农业大学</t>
        </is>
      </c>
      <c r="F272" s="3" t="inlineStr">
        <is>
          <t>https://www.sdau.edu.cn</t>
        </is>
      </c>
      <c r="G272" s="3" t="inlineStr"/>
      <c r="H272" s="3" t="inlineStr"/>
      <c r="I272" s="3" t="inlineStr">
        <is>
          <t>BCUR2026: 128</t>
        </is>
      </c>
      <c r="J272" s="4" t="inlineStr">
        <is>
          <t>не в рейтинге</t>
        </is>
      </c>
      <c r="K272" s="4" t="inlineStr">
        <is>
          <t>не в рейтинге</t>
        </is>
      </c>
      <c r="L272" s="4" t="inlineStr">
        <is>
          <t>нет в опубл. списке (опубликован только топ-15 страны)</t>
        </is>
      </c>
      <c r="M272" s="4" t="inlineStr">
        <is>
          <t>BCUR (ShanghaiRanking) 2026</t>
        </is>
      </c>
      <c r="N272" s="4" t="inlineStr">
        <is>
          <t>128</t>
        </is>
      </c>
      <c r="O272" s="4" t="inlineStr">
        <is>
          <t>https://www.shanghairanking.cn/rankings/bcur/2026</t>
        </is>
      </c>
      <c r="P272" s="4" t="n"/>
    </row>
    <row r="273">
      <c r="A273" s="3" t="inlineStr">
        <is>
          <t>China|Shandong Normal University</t>
        </is>
      </c>
      <c r="B273" s="3" t="inlineStr">
        <is>
          <t>China</t>
        </is>
      </c>
      <c r="C273" s="3" t="inlineStr">
        <is>
          <t>Цзинань</t>
        </is>
      </c>
      <c r="D273" s="3" t="inlineStr">
        <is>
          <t>Shandong Normal University</t>
        </is>
      </c>
      <c r="E273" s="3" t="inlineStr">
        <is>
          <t>山东师范大学</t>
        </is>
      </c>
      <c r="F273" s="3" t="inlineStr">
        <is>
          <t>https://www.sdnu.edu.cn</t>
        </is>
      </c>
      <c r="G273" s="3" t="inlineStr"/>
      <c r="H273" s="3" t="inlineStr"/>
      <c r="I273" s="3" t="inlineStr">
        <is>
          <t>BCUR2026: 104</t>
        </is>
      </c>
      <c r="J273" s="4" t="inlineStr">
        <is>
          <t>не в рейтинге</t>
        </is>
      </c>
      <c r="K273" s="4" t="inlineStr">
        <is>
          <t>не в рейтинге</t>
        </is>
      </c>
      <c r="L273" s="4" t="inlineStr">
        <is>
          <t>нет в опубл. списке (опубликован только топ-15 страны)</t>
        </is>
      </c>
      <c r="M273" s="4" t="inlineStr">
        <is>
          <t>BCUR (ShanghaiRanking) 2026</t>
        </is>
      </c>
      <c r="N273" s="4" t="inlineStr">
        <is>
          <t>104</t>
        </is>
      </c>
      <c r="O273" s="4" t="inlineStr">
        <is>
          <t>https://www.shanghairanking.cn/rankings/bcur/2026</t>
        </is>
      </c>
      <c r="P273" s="4" t="n"/>
    </row>
    <row r="274">
      <c r="A274" s="3" t="inlineStr">
        <is>
          <t>China|Shandong University</t>
        </is>
      </c>
      <c r="B274" s="3" t="inlineStr">
        <is>
          <t>China</t>
        </is>
      </c>
      <c r="C274" s="3" t="inlineStr">
        <is>
          <t>Цзинань</t>
        </is>
      </c>
      <c r="D274" s="3" t="inlineStr">
        <is>
          <t>Shandong University</t>
        </is>
      </c>
      <c r="E274" s="3" t="inlineStr">
        <is>
          <t>山东大学</t>
        </is>
      </c>
      <c r="F274" s="3" t="inlineStr">
        <is>
          <t>https://www.sdu.edu.cn</t>
        </is>
      </c>
      <c r="G274" s="3" t="inlineStr">
        <is>
          <t>QS2027: 309</t>
        </is>
      </c>
      <c r="H274" s="3" t="inlineStr">
        <is>
          <t>THE2027: =263</t>
        </is>
      </c>
      <c r="I274" s="3" t="inlineStr">
        <is>
          <t>BCUR2026: 22</t>
        </is>
      </c>
      <c r="J274" s="4">
        <f>309</f>
        <v/>
      </c>
      <c r="K274" s="4">
        <f>263</f>
        <v/>
      </c>
      <c r="L274" s="4" t="inlineStr">
        <is>
          <t>116</t>
        </is>
      </c>
      <c r="M274" s="4" t="inlineStr">
        <is>
          <t>BCUR (ShanghaiRanking) 2026</t>
        </is>
      </c>
      <c r="N274" s="4" t="inlineStr">
        <is>
          <t>22</t>
        </is>
      </c>
      <c r="O27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274" s="4" t="n"/>
    </row>
    <row r="275">
      <c r="A275" s="3" t="inlineStr">
        <is>
          <t>China|Shandong University of Science and Technology</t>
        </is>
      </c>
      <c r="B275" s="3" t="inlineStr">
        <is>
          <t>China</t>
        </is>
      </c>
      <c r="C275" s="3" t="inlineStr">
        <is>
          <t>Циндао</t>
        </is>
      </c>
      <c r="D275" s="3" t="inlineStr">
        <is>
          <t>Shandong University of Science and Technology</t>
        </is>
      </c>
      <c r="E275" s="3" t="inlineStr">
        <is>
          <t>山东科技大学</t>
        </is>
      </c>
      <c r="F275" s="3" t="inlineStr">
        <is>
          <t>https://www.sdust.edu.cn</t>
        </is>
      </c>
      <c r="G275" s="3" t="inlineStr"/>
      <c r="H275" s="3" t="inlineStr"/>
      <c r="I275" s="3" t="inlineStr">
        <is>
          <t>BCUR2026: 140</t>
        </is>
      </c>
      <c r="J275" s="4" t="inlineStr">
        <is>
          <t>не в рейтинге</t>
        </is>
      </c>
      <c r="K275" s="4" t="inlineStr">
        <is>
          <t>не в рейтинге</t>
        </is>
      </c>
      <c r="L275" s="4" t="inlineStr">
        <is>
          <t>нет в опубл. списке (опубликован только топ-15 страны)</t>
        </is>
      </c>
      <c r="M275" s="4" t="inlineStr">
        <is>
          <t>BCUR (ShanghaiRanking) 2026</t>
        </is>
      </c>
      <c r="N275" s="4" t="inlineStr">
        <is>
          <t>140</t>
        </is>
      </c>
      <c r="O275" s="4" t="inlineStr">
        <is>
          <t>https://www.shanghairanking.cn/rankings/bcur/2026</t>
        </is>
      </c>
      <c r="P275" s="4" t="n"/>
    </row>
    <row r="276">
      <c r="A276" s="3" t="inlineStr">
        <is>
          <t>China|Shanghai Jiao Tong University</t>
        </is>
      </c>
      <c r="B276" s="3" t="inlineStr">
        <is>
          <t>China</t>
        </is>
      </c>
      <c r="C276" s="3" t="inlineStr">
        <is>
          <t>Шанхай</t>
        </is>
      </c>
      <c r="D276" s="3" t="inlineStr">
        <is>
          <t>Shanghai Jiao Tong University</t>
        </is>
      </c>
      <c r="E276" s="3" t="inlineStr">
        <is>
          <t>上海交通大学</t>
        </is>
      </c>
      <c r="F276" s="3" t="inlineStr">
        <is>
          <t>https://www.sjtu.edu.cn</t>
        </is>
      </c>
      <c r="G276" s="3" t="inlineStr">
        <is>
          <t>QS2027: 36</t>
        </is>
      </c>
      <c r="H276" s="3" t="inlineStr">
        <is>
          <t>THE2027: 39</t>
        </is>
      </c>
      <c r="I276" s="3" t="inlineStr">
        <is>
          <t>BCUR2026: 4</t>
        </is>
      </c>
      <c r="J276" s="4" t="inlineStr">
        <is>
          <t>36</t>
        </is>
      </c>
      <c r="K276" s="4" t="inlineStr">
        <is>
          <t>39</t>
        </is>
      </c>
      <c r="L276" s="4" t="inlineStr">
        <is>
          <t>23</t>
        </is>
      </c>
      <c r="M276" s="4" t="inlineStr">
        <is>
          <t>BCUR (ShanghaiRanking) 2026</t>
        </is>
      </c>
      <c r="N276" s="4" t="inlineStr">
        <is>
          <t>4</t>
        </is>
      </c>
      <c r="O27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276" s="4" t="n"/>
    </row>
    <row r="277">
      <c r="A277" s="3" t="inlineStr">
        <is>
          <t>China|Shanghai Maritime University</t>
        </is>
      </c>
      <c r="B277" s="3" t="inlineStr">
        <is>
          <t>China</t>
        </is>
      </c>
      <c r="C277" s="3" t="inlineStr">
        <is>
          <t>Шанхай</t>
        </is>
      </c>
      <c r="D277" s="3" t="inlineStr">
        <is>
          <t>Shanghai Maritime University</t>
        </is>
      </c>
      <c r="E277" s="3" t="inlineStr">
        <is>
          <t>上海海事大学</t>
        </is>
      </c>
      <c r="F277" s="3" t="inlineStr">
        <is>
          <t>https://www.shmtu.edu.cn</t>
        </is>
      </c>
      <c r="G277" s="3" t="inlineStr"/>
      <c r="H277" s="3" t="inlineStr"/>
      <c r="I277" s="3" t="inlineStr">
        <is>
          <t>BCUR2026: 171</t>
        </is>
      </c>
      <c r="J277" s="4" t="inlineStr">
        <is>
          <t>не в рейтинге</t>
        </is>
      </c>
      <c r="K277" s="4" t="inlineStr">
        <is>
          <t>не в рейтинге</t>
        </is>
      </c>
      <c r="L277" s="4" t="inlineStr">
        <is>
          <t>нет в опубл. списке (опубликован только топ-15 страны)</t>
        </is>
      </c>
      <c r="M277" s="4" t="inlineStr">
        <is>
          <t>BCUR (ShanghaiRanking) 2026</t>
        </is>
      </c>
      <c r="N277" s="4" t="inlineStr">
        <is>
          <t>171</t>
        </is>
      </c>
      <c r="O277" s="4" t="inlineStr">
        <is>
          <t>https://www.shanghairanking.cn/rankings/bcur/2026</t>
        </is>
      </c>
      <c r="P277" s="4" t="n"/>
    </row>
    <row r="278">
      <c r="A278" s="3" t="inlineStr">
        <is>
          <t>China|Shanghai Normal University</t>
        </is>
      </c>
      <c r="B278" s="3" t="inlineStr">
        <is>
          <t>China</t>
        </is>
      </c>
      <c r="C278" s="3" t="inlineStr">
        <is>
          <t>Шанхай</t>
        </is>
      </c>
      <c r="D278" s="3" t="inlineStr">
        <is>
          <t>Shanghai Normal University</t>
        </is>
      </c>
      <c r="E278" s="3" t="inlineStr">
        <is>
          <t>上海师范大学</t>
        </is>
      </c>
      <c r="F278" s="3" t="inlineStr">
        <is>
          <t>https://www.shnu.edu.cn</t>
        </is>
      </c>
      <c r="G278" s="3" t="inlineStr">
        <is>
          <t>QS2027: 1401+</t>
        </is>
      </c>
      <c r="H278" s="3" t="inlineStr">
        <is>
          <t>THE2027: 1001–1200</t>
        </is>
      </c>
      <c r="I278" s="3" t="inlineStr">
        <is>
          <t>BCUR2026: 123</t>
        </is>
      </c>
      <c r="J278" s="4" t="inlineStr">
        <is>
          <t>1401+</t>
        </is>
      </c>
      <c r="K278" s="4" t="inlineStr">
        <is>
          <t>1001–1200</t>
        </is>
      </c>
      <c r="L278" s="4" t="inlineStr">
        <is>
          <t>нет в опубл. списке (опубликован только топ-15 страны)</t>
        </is>
      </c>
      <c r="M278" s="4" t="inlineStr">
        <is>
          <t>BCUR (ShanghaiRanking) 2026</t>
        </is>
      </c>
      <c r="N278" s="4" t="inlineStr">
        <is>
          <t>123</t>
        </is>
      </c>
      <c r="O278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78" s="4" t="n"/>
    </row>
    <row r="279">
      <c r="A279" s="3" t="inlineStr">
        <is>
          <t>China|Shanghai Ocean University</t>
        </is>
      </c>
      <c r="B279" s="3" t="inlineStr">
        <is>
          <t>China</t>
        </is>
      </c>
      <c r="C279" s="3" t="inlineStr">
        <is>
          <t>Шанхай</t>
        </is>
      </c>
      <c r="D279" s="3" t="inlineStr">
        <is>
          <t>Shanghai Ocean University</t>
        </is>
      </c>
      <c r="E279" s="3" t="inlineStr">
        <is>
          <t>上海海洋大学</t>
        </is>
      </c>
      <c r="F279" s="3" t="inlineStr">
        <is>
          <t>https://www.shou.edu.cn</t>
        </is>
      </c>
      <c r="G279" s="3" t="inlineStr"/>
      <c r="H279" s="3" t="inlineStr"/>
      <c r="I279" s="3" t="inlineStr">
        <is>
          <t>BCUR2026: 142</t>
        </is>
      </c>
      <c r="J279" s="4" t="inlineStr">
        <is>
          <t>не в рейтинге</t>
        </is>
      </c>
      <c r="K279" s="4" t="inlineStr">
        <is>
          <t>не в рейтинге</t>
        </is>
      </c>
      <c r="L279" s="4" t="inlineStr">
        <is>
          <t>нет в опубл. списке (опубликован только топ-15 страны)</t>
        </is>
      </c>
      <c r="M279" s="4" t="inlineStr">
        <is>
          <t>BCUR (ShanghaiRanking) 2026</t>
        </is>
      </c>
      <c r="N279" s="4" t="inlineStr">
        <is>
          <t>142</t>
        </is>
      </c>
      <c r="O279" s="4" t="inlineStr">
        <is>
          <t>https://www.shanghairanking.cn/rankings/bcur/2026</t>
        </is>
      </c>
      <c r="P279" s="4" t="n"/>
    </row>
    <row r="280">
      <c r="A280" s="3" t="inlineStr">
        <is>
          <t>China|Shanghai University</t>
        </is>
      </c>
      <c r="B280" s="3" t="inlineStr">
        <is>
          <t>China</t>
        </is>
      </c>
      <c r="C280" s="3" t="inlineStr">
        <is>
          <t>Шанхай</t>
        </is>
      </c>
      <c r="D280" s="3" t="inlineStr">
        <is>
          <t>Shanghai University</t>
        </is>
      </c>
      <c r="E280" s="3" t="inlineStr">
        <is>
          <t>上海大学</t>
        </is>
      </c>
      <c r="F280" s="3" t="inlineStr">
        <is>
          <t>https://www.shu.edu.cn</t>
        </is>
      </c>
      <c r="G280" s="3" t="inlineStr">
        <is>
          <t>QS2027: =443</t>
        </is>
      </c>
      <c r="H280" s="3" t="inlineStr">
        <is>
          <t>THE2027: 501–550</t>
        </is>
      </c>
      <c r="I280" s="3" t="inlineStr">
        <is>
          <t>BCUR2026: 60</t>
        </is>
      </c>
      <c r="J280" s="4">
        <f>443</f>
        <v/>
      </c>
      <c r="K280" s="4" t="inlineStr">
        <is>
          <t>501–550</t>
        </is>
      </c>
      <c r="L280" s="4" t="inlineStr">
        <is>
          <t>нет в опубл. списке (опубликован только топ-15 страны)</t>
        </is>
      </c>
      <c r="M280" s="4" t="inlineStr">
        <is>
          <t>BCUR (ShanghaiRanking) 2026</t>
        </is>
      </c>
      <c r="N280" s="4" t="inlineStr">
        <is>
          <t>60</t>
        </is>
      </c>
      <c r="O28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80" s="4" t="n"/>
    </row>
    <row r="281">
      <c r="A281" s="3" t="inlineStr">
        <is>
          <t>China|Shanghai University of Electric Power</t>
        </is>
      </c>
      <c r="B281" s="3" t="inlineStr">
        <is>
          <t>China</t>
        </is>
      </c>
      <c r="C281" s="3" t="inlineStr">
        <is>
          <t>Шанхай</t>
        </is>
      </c>
      <c r="D281" s="3" t="inlineStr">
        <is>
          <t>Shanghai University of Electric Power</t>
        </is>
      </c>
      <c r="E281" s="3" t="inlineStr">
        <is>
          <t>上海电力大学</t>
        </is>
      </c>
      <c r="F281" s="3" t="inlineStr">
        <is>
          <t>https://www.shiep.edu.cn</t>
        </is>
      </c>
      <c r="G281" s="3" t="inlineStr"/>
      <c r="H281" s="3" t="inlineStr"/>
      <c r="I281" s="3" t="inlineStr">
        <is>
          <t>BCUR2026: 188</t>
        </is>
      </c>
      <c r="J281" s="4" t="inlineStr">
        <is>
          <t>не в рейтинге</t>
        </is>
      </c>
      <c r="K281" s="4" t="inlineStr">
        <is>
          <t>не в рейтинге</t>
        </is>
      </c>
      <c r="L281" s="4" t="inlineStr">
        <is>
          <t>нет в опубл. списке (опубликован только топ-15 страны)</t>
        </is>
      </c>
      <c r="M281" s="4" t="inlineStr">
        <is>
          <t>BCUR (ShanghaiRanking) 2026</t>
        </is>
      </c>
      <c r="N281" s="4" t="inlineStr">
        <is>
          <t>188</t>
        </is>
      </c>
      <c r="O281" s="4" t="inlineStr">
        <is>
          <t>https://www.shanghairanking.cn/rankings/bcur/2026</t>
        </is>
      </c>
      <c r="P281" s="4" t="n"/>
    </row>
    <row r="282">
      <c r="A282" s="3" t="inlineStr">
        <is>
          <t>China|ShanghaiTech University</t>
        </is>
      </c>
      <c r="B282" s="3" t="inlineStr">
        <is>
          <t>China</t>
        </is>
      </c>
      <c r="C282" s="3" t="inlineStr">
        <is>
          <t>Шанхай</t>
        </is>
      </c>
      <c r="D282" s="3" t="inlineStr">
        <is>
          <t>ShanghaiTech University</t>
        </is>
      </c>
      <c r="E282" s="3" t="inlineStr">
        <is>
          <t>上海科技大学</t>
        </is>
      </c>
      <c r="F282" s="3" t="inlineStr">
        <is>
          <t>https://www.shanghaitech.edu.cn</t>
        </is>
      </c>
      <c r="G282" s="3" t="inlineStr"/>
      <c r="H282" s="3" t="inlineStr"/>
      <c r="I282" s="3" t="inlineStr">
        <is>
          <t>BCUR2026: 47</t>
        </is>
      </c>
      <c r="J282" s="4" t="inlineStr">
        <is>
          <t>не в рейтинге</t>
        </is>
      </c>
      <c r="K282" s="4" t="inlineStr">
        <is>
          <t>не в рейтинге</t>
        </is>
      </c>
      <c r="L282" s="4" t="inlineStr">
        <is>
          <t>нет в опубл. списке (опубликован только топ-15 страны)</t>
        </is>
      </c>
      <c r="M282" s="4" t="inlineStr">
        <is>
          <t>BCUR (ShanghaiRanking) 2026</t>
        </is>
      </c>
      <c r="N282" s="4" t="inlineStr">
        <is>
          <t>47</t>
        </is>
      </c>
      <c r="O282" s="4" t="inlineStr">
        <is>
          <t>https://www.shanghairanking.cn/rankings/bcur/2026</t>
        </is>
      </c>
      <c r="P282" s="4" t="n"/>
    </row>
    <row r="283">
      <c r="A283" s="3" t="inlineStr">
        <is>
          <t>China|Shantou University</t>
        </is>
      </c>
      <c r="B283" s="3" t="inlineStr">
        <is>
          <t>China</t>
        </is>
      </c>
      <c r="C283" s="3" t="inlineStr">
        <is>
          <t>Шаньтоу</t>
        </is>
      </c>
      <c r="D283" s="3" t="inlineStr">
        <is>
          <t>Shantou University</t>
        </is>
      </c>
      <c r="E283" s="3" t="inlineStr">
        <is>
          <t>汕头大学</t>
        </is>
      </c>
      <c r="F283" s="3" t="inlineStr">
        <is>
          <t>https://www.stu.edu.cn</t>
        </is>
      </c>
      <c r="G283" s="3" t="inlineStr"/>
      <c r="H283" s="3" t="inlineStr">
        <is>
          <t>THE2027: 801–1000</t>
        </is>
      </c>
      <c r="I283" s="3" t="inlineStr">
        <is>
          <t>BCUR2026: 173</t>
        </is>
      </c>
      <c r="J283" s="4" t="inlineStr">
        <is>
          <t>не в рейтинге</t>
        </is>
      </c>
      <c r="K283" s="4" t="inlineStr">
        <is>
          <t>801–1000</t>
        </is>
      </c>
      <c r="L283" s="4" t="inlineStr">
        <is>
          <t>нет в опубл. списке (опубликован только топ-15 страны)</t>
        </is>
      </c>
      <c r="M283" s="4" t="inlineStr">
        <is>
          <t>BCUR (ShanghaiRanking) 2026</t>
        </is>
      </c>
      <c r="N283" s="4" t="inlineStr">
        <is>
          <t>173</t>
        </is>
      </c>
      <c r="O283" s="4" t="inlineStr">
        <is>
          <t>https://www.timeshighereducation.com/world-university-rankings/2027/world-ranking
https://www.shanghairanking.cn/rankings/bcur/2026</t>
        </is>
      </c>
      <c r="P283" s="4" t="n"/>
    </row>
    <row r="284">
      <c r="A284" s="3" t="inlineStr">
        <is>
          <t>China|Shanxi University</t>
        </is>
      </c>
      <c r="B284" s="3" t="inlineStr">
        <is>
          <t>China</t>
        </is>
      </c>
      <c r="C284" s="3" t="inlineStr">
        <is>
          <t>Тайюань</t>
        </is>
      </c>
      <c r="D284" s="3" t="inlineStr">
        <is>
          <t>Shanxi University</t>
        </is>
      </c>
      <c r="E284" s="3" t="inlineStr">
        <is>
          <t>山西大学</t>
        </is>
      </c>
      <c r="F284" s="3" t="inlineStr">
        <is>
          <t>https://www.sxu.edu.cn</t>
        </is>
      </c>
      <c r="G284" s="3" t="inlineStr"/>
      <c r="H284" s="3" t="inlineStr"/>
      <c r="I284" s="3" t="inlineStr">
        <is>
          <t>BCUR2026: 102</t>
        </is>
      </c>
      <c r="J284" s="4" t="inlineStr">
        <is>
          <t>не в рейтинге</t>
        </is>
      </c>
      <c r="K284" s="4" t="inlineStr">
        <is>
          <t>не в рейтинге</t>
        </is>
      </c>
      <c r="L284" s="4" t="inlineStr">
        <is>
          <t>нет в опубл. списке (опубликован только топ-15 страны)</t>
        </is>
      </c>
      <c r="M284" s="4" t="inlineStr">
        <is>
          <t>BCUR (ShanghaiRanking) 2026</t>
        </is>
      </c>
      <c r="N284" s="4" t="inlineStr">
        <is>
          <t>102</t>
        </is>
      </c>
      <c r="O284" s="4" t="inlineStr">
        <is>
          <t>https://www.shanghairanking.cn/rankings/bcur/2026</t>
        </is>
      </c>
      <c r="P284" s="4" t="n"/>
    </row>
    <row r="285">
      <c r="A285" s="3" t="inlineStr">
        <is>
          <t>China|Shenyang Aerospace University</t>
        </is>
      </c>
      <c r="B285" s="3" t="inlineStr">
        <is>
          <t>China</t>
        </is>
      </c>
      <c r="C285" s="3" t="inlineStr">
        <is>
          <t>Шэньян</t>
        </is>
      </c>
      <c r="D285" s="3" t="inlineStr">
        <is>
          <t>Shenyang Aerospace University</t>
        </is>
      </c>
      <c r="E285" s="3" t="inlineStr">
        <is>
          <t>沈阳航空航天大学</t>
        </is>
      </c>
      <c r="F285" s="3" t="inlineStr">
        <is>
          <t>https://www.sau.edu.cn</t>
        </is>
      </c>
      <c r="G285" s="3" t="inlineStr"/>
      <c r="H285" s="3" t="inlineStr"/>
      <c r="I285" s="3" t="inlineStr">
        <is>
          <t>BCUR2026: 179</t>
        </is>
      </c>
      <c r="J285" s="4" t="inlineStr">
        <is>
          <t>не в рейтинге</t>
        </is>
      </c>
      <c r="K285" s="4" t="inlineStr">
        <is>
          <t>не в рейтинге</t>
        </is>
      </c>
      <c r="L285" s="4" t="inlineStr">
        <is>
          <t>нет в опубл. списке (опубликован только топ-15 страны)</t>
        </is>
      </c>
      <c r="M285" s="4" t="inlineStr">
        <is>
          <t>BCUR (ShanghaiRanking) 2026</t>
        </is>
      </c>
      <c r="N285" s="4" t="inlineStr">
        <is>
          <t>179</t>
        </is>
      </c>
      <c r="O285" s="4" t="inlineStr">
        <is>
          <t>https://www.shanghairanking.cn/rankings/bcur/2026</t>
        </is>
      </c>
      <c r="P285" s="4" t="n"/>
    </row>
    <row r="286">
      <c r="A286" s="3" t="inlineStr">
        <is>
          <t>China|Shenyang Agricultural University</t>
        </is>
      </c>
      <c r="B286" s="3" t="inlineStr">
        <is>
          <t>China</t>
        </is>
      </c>
      <c r="C286" s="3" t="inlineStr">
        <is>
          <t>Шэньян</t>
        </is>
      </c>
      <c r="D286" s="3" t="inlineStr">
        <is>
          <t>Shenyang Agricultural University</t>
        </is>
      </c>
      <c r="E286" s="3" t="inlineStr">
        <is>
          <t>沈阳农业大学</t>
        </is>
      </c>
      <c r="F286" s="3" t="inlineStr">
        <is>
          <t>https://www.syau.edu.cn</t>
        </is>
      </c>
      <c r="G286" s="3" t="inlineStr"/>
      <c r="H286" s="3" t="inlineStr"/>
      <c r="I286" s="3" t="inlineStr">
        <is>
          <t>BCUR2026: 153</t>
        </is>
      </c>
      <c r="J286" s="4" t="inlineStr">
        <is>
          <t>не в рейтинге</t>
        </is>
      </c>
      <c r="K286" s="4" t="inlineStr">
        <is>
          <t>не в рейтинге</t>
        </is>
      </c>
      <c r="L286" s="4" t="inlineStr">
        <is>
          <t>нет в опубл. списке (опубликован только топ-15 страны)</t>
        </is>
      </c>
      <c r="M286" s="4" t="inlineStr">
        <is>
          <t>BCUR (ShanghaiRanking) 2026</t>
        </is>
      </c>
      <c r="N286" s="4" t="inlineStr">
        <is>
          <t>153</t>
        </is>
      </c>
      <c r="O286" s="4" t="inlineStr">
        <is>
          <t>https://www.shanghairanking.cn/rankings/bcur/2026</t>
        </is>
      </c>
      <c r="P286" s="4" t="n"/>
    </row>
    <row r="287">
      <c r="A287" s="3" t="inlineStr">
        <is>
          <t>China|Shenzhen University</t>
        </is>
      </c>
      <c r="B287" s="3" t="inlineStr">
        <is>
          <t>China</t>
        </is>
      </c>
      <c r="C287" s="3" t="inlineStr">
        <is>
          <t>Шэньчжэнь</t>
        </is>
      </c>
      <c r="D287" s="3" t="inlineStr">
        <is>
          <t>Shenzhen University</t>
        </is>
      </c>
      <c r="E287" s="3" t="inlineStr">
        <is>
          <t>深圳大学</t>
        </is>
      </c>
      <c r="F287" s="3" t="inlineStr">
        <is>
          <t>https://www.szu.edu.cn</t>
        </is>
      </c>
      <c r="G287" s="3" t="inlineStr">
        <is>
          <t>QS2027: 416</t>
        </is>
      </c>
      <c r="H287" s="3" t="inlineStr">
        <is>
          <t>THE2027: 351-375</t>
        </is>
      </c>
      <c r="I287" s="3" t="inlineStr">
        <is>
          <t>BCUR2026: 66</t>
        </is>
      </c>
      <c r="J287" s="4">
        <f>416</f>
        <v/>
      </c>
      <c r="K287" s="4" t="inlineStr">
        <is>
          <t>351–375</t>
        </is>
      </c>
      <c r="L287" s="4" t="inlineStr">
        <is>
          <t>нет в опубл. списке (опубликован только топ-15 страны)</t>
        </is>
      </c>
      <c r="M287" s="4" t="inlineStr">
        <is>
          <t>BCUR (ShanghaiRanking) 2026</t>
        </is>
      </c>
      <c r="N287" s="4" t="inlineStr">
        <is>
          <t>66</t>
        </is>
      </c>
      <c r="O287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87" s="4" t="n"/>
    </row>
    <row r="288">
      <c r="A288" s="3" t="inlineStr">
        <is>
          <t>China|Shihezi University</t>
        </is>
      </c>
      <c r="B288" s="3" t="inlineStr">
        <is>
          <t>China</t>
        </is>
      </c>
      <c r="C288" s="3" t="inlineStr">
        <is>
          <t>Шихэцзы</t>
        </is>
      </c>
      <c r="D288" s="3" t="inlineStr">
        <is>
          <t>Shihezi University</t>
        </is>
      </c>
      <c r="E288" s="3" t="inlineStr">
        <is>
          <t>石河子大学</t>
        </is>
      </c>
      <c r="F288" s="3" t="inlineStr">
        <is>
          <t>https://www.shzu.edu.cn</t>
        </is>
      </c>
      <c r="G288" s="3" t="inlineStr"/>
      <c r="H288" s="3" t="inlineStr"/>
      <c r="I288" s="3" t="inlineStr">
        <is>
          <t>BCUR2026: 135</t>
        </is>
      </c>
      <c r="J288" s="4" t="inlineStr">
        <is>
          <t>не в рейтинге</t>
        </is>
      </c>
      <c r="K288" s="4" t="inlineStr">
        <is>
          <t>не в рейтинге</t>
        </is>
      </c>
      <c r="L288" s="4" t="inlineStr">
        <is>
          <t>нет в опубл. списке (опубликован только топ-15 страны)</t>
        </is>
      </c>
      <c r="M288" s="4" t="inlineStr">
        <is>
          <t>BCUR (ShanghaiRanking) 2026</t>
        </is>
      </c>
      <c r="N288" s="4" t="inlineStr">
        <is>
          <t>135</t>
        </is>
      </c>
      <c r="O288" s="4" t="inlineStr">
        <is>
          <t>https://www.shanghairanking.cn/rankings/bcur/2026</t>
        </is>
      </c>
      <c r="P288" s="4" t="n"/>
    </row>
    <row r="289">
      <c r="A289" s="3" t="inlineStr">
        <is>
          <t>China|Sichuan Agricultural University</t>
        </is>
      </c>
      <c r="B289" s="3" t="inlineStr">
        <is>
          <t>China</t>
        </is>
      </c>
      <c r="C289" s="3" t="inlineStr">
        <is>
          <t>Яань / Чэнду (пров. Сычуань)</t>
        </is>
      </c>
      <c r="D289" s="3" t="inlineStr">
        <is>
          <t>Sichuan Agricultural University</t>
        </is>
      </c>
      <c r="E289" s="3" t="inlineStr">
        <is>
          <t>四川农业大学</t>
        </is>
      </c>
      <c r="F289" s="3" t="inlineStr">
        <is>
          <t>https://www.sicau.edu.cn</t>
        </is>
      </c>
      <c r="G289" s="3" t="inlineStr"/>
      <c r="H289" s="3" t="inlineStr"/>
      <c r="I289" s="3" t="inlineStr">
        <is>
          <t>BCUR2026: 134</t>
        </is>
      </c>
      <c r="J289" s="4" t="inlineStr">
        <is>
          <t>не в рейтинге</t>
        </is>
      </c>
      <c r="K289" s="4" t="inlineStr">
        <is>
          <t>не в рейтинге</t>
        </is>
      </c>
      <c r="L289" s="4" t="inlineStr">
        <is>
          <t>нет в опубл. списке (опубликован только топ-15 страны)</t>
        </is>
      </c>
      <c r="M289" s="4" t="inlineStr">
        <is>
          <t>BCUR (ShanghaiRanking) 2026</t>
        </is>
      </c>
      <c r="N289" s="4" t="inlineStr">
        <is>
          <t>134</t>
        </is>
      </c>
      <c r="O289" s="4" t="inlineStr">
        <is>
          <t>https://www.shanghairanking.cn/rankings/bcur/2026</t>
        </is>
      </c>
      <c r="P289" s="4" t="n"/>
    </row>
    <row r="290">
      <c r="A290" s="3" t="inlineStr">
        <is>
          <t>China|Sichuan University</t>
        </is>
      </c>
      <c r="B290" s="3" t="inlineStr">
        <is>
          <t>China</t>
        </is>
      </c>
      <c r="C290" s="3" t="inlineStr">
        <is>
          <t>Чэнду</t>
        </is>
      </c>
      <c r="D290" s="3" t="inlineStr">
        <is>
          <t>Sichuan University</t>
        </is>
      </c>
      <c r="E290" s="3" t="inlineStr">
        <is>
          <t>四川大学</t>
        </is>
      </c>
      <c r="F290" s="3" t="inlineStr">
        <is>
          <t>https://www.scu.edu.cn</t>
        </is>
      </c>
      <c r="G290" s="3" t="inlineStr">
        <is>
          <t>QS2027: 300</t>
        </is>
      </c>
      <c r="H290" s="3" t="inlineStr">
        <is>
          <t>THE2027: =224</t>
        </is>
      </c>
      <c r="I290" s="3" t="inlineStr">
        <is>
          <t>BCUR2026: 16</t>
        </is>
      </c>
      <c r="J290" s="4">
        <f>300</f>
        <v/>
      </c>
      <c r="K290" s="4">
        <f>224</f>
        <v/>
      </c>
      <c r="L290" s="4" t="inlineStr">
        <is>
          <t>122</t>
        </is>
      </c>
      <c r="M290" s="4" t="inlineStr">
        <is>
          <t>BCUR (ShanghaiRanking) 2026</t>
        </is>
      </c>
      <c r="N290" s="4" t="inlineStr">
        <is>
          <t>16</t>
        </is>
      </c>
      <c r="O29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290" s="4" t="n"/>
    </row>
    <row r="291">
      <c r="A291" s="3" t="inlineStr">
        <is>
          <t>China|Soochow University</t>
        </is>
      </c>
      <c r="B291" s="3" t="inlineStr">
        <is>
          <t>China</t>
        </is>
      </c>
      <c r="C291" s="3" t="inlineStr">
        <is>
          <t>Сучжоу</t>
        </is>
      </c>
      <c r="D291" s="3" t="inlineStr">
        <is>
          <t>Soochow University</t>
        </is>
      </c>
      <c r="E291" s="3" t="inlineStr">
        <is>
          <t>苏州大学</t>
        </is>
      </c>
      <c r="F291" s="3" t="inlineStr">
        <is>
          <t>https://www.suda.edu.cn</t>
        </is>
      </c>
      <c r="G291" s="3" t="inlineStr">
        <is>
          <t>QS2027: 711-720</t>
        </is>
      </c>
      <c r="H291" s="3" t="inlineStr">
        <is>
          <t>THE2027: 551–600</t>
        </is>
      </c>
      <c r="I291" s="3" t="inlineStr">
        <is>
          <t>BCUR2026: 46</t>
        </is>
      </c>
      <c r="J291" s="4" t="inlineStr">
        <is>
          <t>711–720</t>
        </is>
      </c>
      <c r="K291" s="4" t="inlineStr">
        <is>
          <t>551–600</t>
        </is>
      </c>
      <c r="L291" s="4" t="inlineStr">
        <is>
          <t>нет в опубл. списке (опубликован только топ-15 страны)</t>
        </is>
      </c>
      <c r="M291" s="4" t="inlineStr">
        <is>
          <t>BCUR (ShanghaiRanking) 2026</t>
        </is>
      </c>
      <c r="N291" s="4" t="inlineStr">
        <is>
          <t>46</t>
        </is>
      </c>
      <c r="O291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91" s="4" t="inlineStr">
        <is>
          <t>THE: в таблице как «Soochow University, China»</t>
        </is>
      </c>
    </row>
    <row r="292">
      <c r="A292" s="3" t="inlineStr">
        <is>
          <t>China|South China Agricultural University</t>
        </is>
      </c>
      <c r="B292" s="3" t="inlineStr">
        <is>
          <t>China</t>
        </is>
      </c>
      <c r="C292" s="3" t="inlineStr">
        <is>
          <t>Гуанчжоу</t>
        </is>
      </c>
      <c r="D292" s="3" t="inlineStr">
        <is>
          <t>South China Agricultural University</t>
        </is>
      </c>
      <c r="E292" s="3" t="inlineStr">
        <is>
          <t>华南农业大学</t>
        </is>
      </c>
      <c r="F292" s="3" t="inlineStr">
        <is>
          <t>https://www.scau.edu.cn</t>
        </is>
      </c>
      <c r="G292" s="3" t="inlineStr"/>
      <c r="H292" s="3" t="inlineStr"/>
      <c r="I292" s="3" t="inlineStr">
        <is>
          <t>BCUR2026: 103</t>
        </is>
      </c>
      <c r="J292" s="4" t="inlineStr">
        <is>
          <t>не в рейтинге</t>
        </is>
      </c>
      <c r="K292" s="4" t="inlineStr">
        <is>
          <t>не в рейтинге</t>
        </is>
      </c>
      <c r="L292" s="4" t="inlineStr">
        <is>
          <t>нет в опубл. списке (опубликован только топ-15 страны)</t>
        </is>
      </c>
      <c r="M292" s="4" t="inlineStr">
        <is>
          <t>BCUR (ShanghaiRanking) 2026</t>
        </is>
      </c>
      <c r="N292" s="4" t="inlineStr">
        <is>
          <t>103</t>
        </is>
      </c>
      <c r="O292" s="4" t="inlineStr">
        <is>
          <t>https://www.shanghairanking.cn/rankings/bcur/2026</t>
        </is>
      </c>
      <c r="P292" s="4" t="n"/>
    </row>
    <row r="293">
      <c r="A293" s="3" t="inlineStr">
        <is>
          <t>China|South China Normal University</t>
        </is>
      </c>
      <c r="B293" s="3" t="inlineStr">
        <is>
          <t>China</t>
        </is>
      </c>
      <c r="C293" s="3" t="inlineStr">
        <is>
          <t>Гуанчжоу</t>
        </is>
      </c>
      <c r="D293" s="3" t="inlineStr">
        <is>
          <t>South China Normal University</t>
        </is>
      </c>
      <c r="E293" s="3" t="inlineStr">
        <is>
          <t>华南师范大学</t>
        </is>
      </c>
      <c r="F293" s="3" t="inlineStr">
        <is>
          <t>https://www.scnu.edu.cn</t>
        </is>
      </c>
      <c r="G293" s="3" t="inlineStr"/>
      <c r="H293" s="3" t="inlineStr">
        <is>
          <t>THE2027: 701–800</t>
        </is>
      </c>
      <c r="I293" s="3" t="inlineStr">
        <is>
          <t>BCUR2026: 79</t>
        </is>
      </c>
      <c r="J293" s="4" t="inlineStr">
        <is>
          <t>не в рейтинге</t>
        </is>
      </c>
      <c r="K293" s="4" t="inlineStr">
        <is>
          <t>701–800</t>
        </is>
      </c>
      <c r="L293" s="4" t="inlineStr">
        <is>
          <t>нет в опубл. списке (опубликован только топ-15 страны)</t>
        </is>
      </c>
      <c r="M293" s="4" t="inlineStr">
        <is>
          <t>BCUR (ShanghaiRanking) 2026</t>
        </is>
      </c>
      <c r="N293" s="4" t="inlineStr">
        <is>
          <t>79</t>
        </is>
      </c>
      <c r="O293" s="4" t="inlineStr">
        <is>
          <t>https://www.timeshighereducation.com/world-university-rankings/2027/world-ranking
https://www.shanghairanking.cn/rankings/bcur/2026</t>
        </is>
      </c>
      <c r="P293" s="4" t="n"/>
    </row>
    <row r="294">
      <c r="A294" s="3" t="inlineStr">
        <is>
          <t>China|South China University of Technology</t>
        </is>
      </c>
      <c r="B294" s="3" t="inlineStr">
        <is>
          <t>China</t>
        </is>
      </c>
      <c r="C294" s="3" t="inlineStr">
        <is>
          <t>Гуанчжоу</t>
        </is>
      </c>
      <c r="D294" s="3" t="inlineStr">
        <is>
          <t>South China University of Technology</t>
        </is>
      </c>
      <c r="E294" s="3" t="inlineStr">
        <is>
          <t>华南理工大学</t>
        </is>
      </c>
      <c r="F294" s="3" t="inlineStr">
        <is>
          <t>https://www.scut.edu.cn</t>
        </is>
      </c>
      <c r="G294" s="3" t="inlineStr">
        <is>
          <t>QS2027: 342</t>
        </is>
      </c>
      <c r="H294" s="3" t="inlineStr">
        <is>
          <t>THE2027: 265</t>
        </is>
      </c>
      <c r="I294" s="3" t="inlineStr">
        <is>
          <t>BCUR2026: 32</t>
        </is>
      </c>
      <c r="J294" s="4">
        <f>342</f>
        <v/>
      </c>
      <c r="K294" s="4" t="inlineStr">
        <is>
          <t>265</t>
        </is>
      </c>
      <c r="L294" s="4" t="inlineStr">
        <is>
          <t>нет в опубл. списке (опубликован только топ-15 страны)</t>
        </is>
      </c>
      <c r="M294" s="4" t="inlineStr">
        <is>
          <t>BCUR (ShanghaiRanking) 2026</t>
        </is>
      </c>
      <c r="N294" s="4" t="inlineStr">
        <is>
          <t>32</t>
        </is>
      </c>
      <c r="O294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94" s="4" t="n"/>
    </row>
    <row r="295">
      <c r="A295" s="3" t="inlineStr">
        <is>
          <t>China|Southeast University</t>
        </is>
      </c>
      <c r="B295" s="3" t="inlineStr">
        <is>
          <t>China</t>
        </is>
      </c>
      <c r="C295" s="3" t="inlineStr">
        <is>
          <t>Нанкин</t>
        </is>
      </c>
      <c r="D295" s="3" t="inlineStr">
        <is>
          <t>Southeast University</t>
        </is>
      </c>
      <c r="E295" s="3" t="inlineStr">
        <is>
          <t>东南大学</t>
        </is>
      </c>
      <c r="F295" s="3" t="inlineStr">
        <is>
          <t>https://www.seu.edu.cn</t>
        </is>
      </c>
      <c r="G295" s="3" t="inlineStr">
        <is>
          <t>QS2027: 335</t>
        </is>
      </c>
      <c r="H295" s="3" t="inlineStr">
        <is>
          <t>THE2027: =247</t>
        </is>
      </c>
      <c r="I295" s="3" t="inlineStr">
        <is>
          <t>BCUR2026: 15</t>
        </is>
      </c>
      <c r="J295" s="4">
        <f>335</f>
        <v/>
      </c>
      <c r="K295" s="4">
        <f>247</f>
        <v/>
      </c>
      <c r="L295" s="4" t="inlineStr">
        <is>
          <t>нет в опубл. списке (опубликован только топ-15 страны)</t>
        </is>
      </c>
      <c r="M295" s="4" t="inlineStr">
        <is>
          <t>BCUR (ShanghaiRanking) 2026</t>
        </is>
      </c>
      <c r="N295" s="4" t="inlineStr">
        <is>
          <t>15</t>
        </is>
      </c>
      <c r="O295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95" s="4" t="n"/>
    </row>
    <row r="296">
      <c r="A296" s="3" t="inlineStr">
        <is>
          <t>China|Southern University of Science and Technology</t>
        </is>
      </c>
      <c r="B296" s="3" t="inlineStr">
        <is>
          <t>China</t>
        </is>
      </c>
      <c r="C296" s="3" t="inlineStr">
        <is>
          <t>Шэньчжэнь</t>
        </is>
      </c>
      <c r="D296" s="3" t="inlineStr">
        <is>
          <t>Southern University of Science and Technology</t>
        </is>
      </c>
      <c r="E296" s="3" t="inlineStr">
        <is>
          <t>南方科技大学</t>
        </is>
      </c>
      <c r="F296" s="3" t="inlineStr">
        <is>
          <t>https://www.sustech.edu.cn</t>
        </is>
      </c>
      <c r="G296" s="3" t="inlineStr">
        <is>
          <t>QS2027: 317</t>
        </is>
      </c>
      <c r="H296" s="3" t="inlineStr">
        <is>
          <t>THE2027: =163</t>
        </is>
      </c>
      <c r="I296" s="3" t="inlineStr">
        <is>
          <t>BCUR2026: 30</t>
        </is>
      </c>
      <c r="J296" s="4" t="inlineStr">
        <is>
          <t>317</t>
        </is>
      </c>
      <c r="K296" s="4">
        <f>163</f>
        <v/>
      </c>
      <c r="L296" s="4" t="inlineStr">
        <is>
          <t>нет в опубл. списке (опубликован только топ-15 страны)</t>
        </is>
      </c>
      <c r="M296" s="4" t="inlineStr">
        <is>
          <t>BCUR (ShanghaiRanking) 2026</t>
        </is>
      </c>
      <c r="N296" s="4" t="inlineStr">
        <is>
          <t>30</t>
        </is>
      </c>
      <c r="O296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96" s="4" t="n"/>
    </row>
    <row r="297">
      <c r="A297" s="3" t="inlineStr">
        <is>
          <t>China|Southwest Jiaotong University</t>
        </is>
      </c>
      <c r="B297" s="3" t="inlineStr">
        <is>
          <t>China</t>
        </is>
      </c>
      <c r="C297" s="3" t="inlineStr">
        <is>
          <t>Чэнду</t>
        </is>
      </c>
      <c r="D297" s="3" t="inlineStr">
        <is>
          <t>Southwest Jiaotong University</t>
        </is>
      </c>
      <c r="E297" s="3" t="inlineStr">
        <is>
          <t>西南交通大学</t>
        </is>
      </c>
      <c r="F297" s="3" t="inlineStr">
        <is>
          <t>https://www.swjtu.edu.cn</t>
        </is>
      </c>
      <c r="G297" s="3" t="inlineStr">
        <is>
          <t>QS2027: 851-900</t>
        </is>
      </c>
      <c r="H297" s="3" t="inlineStr">
        <is>
          <t>THE2027: 701–800</t>
        </is>
      </c>
      <c r="I297" s="3" t="inlineStr">
        <is>
          <t>BCUR2026: 49</t>
        </is>
      </c>
      <c r="J297" s="4" t="inlineStr">
        <is>
          <t>851–900</t>
        </is>
      </c>
      <c r="K297" s="4" t="inlineStr">
        <is>
          <t>701–800</t>
        </is>
      </c>
      <c r="L297" s="4" t="inlineStr">
        <is>
          <t>нет в опубл. списке (опубликован только топ-15 страны)</t>
        </is>
      </c>
      <c r="M297" s="4" t="inlineStr">
        <is>
          <t>BCUR (ShanghaiRanking) 2026</t>
        </is>
      </c>
      <c r="N297" s="4" t="inlineStr">
        <is>
          <t>49</t>
        </is>
      </c>
      <c r="O297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297" s="4" t="n"/>
    </row>
    <row r="298">
      <c r="A298" s="3" t="inlineStr">
        <is>
          <t>China|Southwest Petroleum University</t>
        </is>
      </c>
      <c r="B298" s="3" t="inlineStr">
        <is>
          <t>China</t>
        </is>
      </c>
      <c r="C298" s="3" t="inlineStr">
        <is>
          <t>Чэнду</t>
        </is>
      </c>
      <c r="D298" s="3" t="inlineStr">
        <is>
          <t>Southwest Petroleum University</t>
        </is>
      </c>
      <c r="E298" s="3" t="inlineStr">
        <is>
          <t>西南石油大学</t>
        </is>
      </c>
      <c r="F298" s="3" t="inlineStr">
        <is>
          <t>https://www.swpu.edu.cn</t>
        </is>
      </c>
      <c r="G298" s="3" t="inlineStr"/>
      <c r="H298" s="3" t="inlineStr">
        <is>
          <t>THE2027: 1601–1800</t>
        </is>
      </c>
      <c r="I298" s="3" t="inlineStr">
        <is>
          <t>BCUR2026: 119</t>
        </is>
      </c>
      <c r="J298" s="4" t="inlineStr">
        <is>
          <t>не в рейтинге</t>
        </is>
      </c>
      <c r="K298" s="4" t="inlineStr">
        <is>
          <t>1601–1800</t>
        </is>
      </c>
      <c r="L298" s="4" t="inlineStr">
        <is>
          <t>нет в опубл. списке (опубликован только топ-15 страны)</t>
        </is>
      </c>
      <c r="M298" s="4" t="inlineStr">
        <is>
          <t>BCUR (ShanghaiRanking) 2026</t>
        </is>
      </c>
      <c r="N298" s="4" t="inlineStr">
        <is>
          <t>119</t>
        </is>
      </c>
      <c r="O298" s="4" t="inlineStr">
        <is>
          <t>https://www.timeshighereducation.com/world-university-rankings/2027/world-ranking
https://www.shanghairanking.cn/rankings/bcur/2026</t>
        </is>
      </c>
      <c r="P298" s="4" t="n"/>
    </row>
    <row r="299">
      <c r="A299" s="3" t="inlineStr">
        <is>
          <t>China|Southwest University</t>
        </is>
      </c>
      <c r="B299" s="3" t="inlineStr">
        <is>
          <t>China</t>
        </is>
      </c>
      <c r="C299" s="3" t="inlineStr">
        <is>
          <t>Чунцин</t>
        </is>
      </c>
      <c r="D299" s="3" t="inlineStr">
        <is>
          <t>Southwest University</t>
        </is>
      </c>
      <c r="E299" s="3" t="inlineStr">
        <is>
          <t>西南大学</t>
        </is>
      </c>
      <c r="F299" s="3" t="inlineStr">
        <is>
          <t>https://www.swu.edu.cn</t>
        </is>
      </c>
      <c r="G299" s="3" t="inlineStr">
        <is>
          <t>QS2027: 951–1000</t>
        </is>
      </c>
      <c r="H299" s="3" t="inlineStr"/>
      <c r="I299" s="3" t="inlineStr">
        <is>
          <t>BCUR2026: 61</t>
        </is>
      </c>
      <c r="J299" s="4" t="inlineStr">
        <is>
          <t>951–1000</t>
        </is>
      </c>
      <c r="K299" s="4" t="inlineStr">
        <is>
          <t>не в рейтинге</t>
        </is>
      </c>
      <c r="L299" s="4" t="inlineStr">
        <is>
          <t>нет в опубл. списке (опубликован только топ-15 страны)</t>
        </is>
      </c>
      <c r="M299" s="4" t="inlineStr">
        <is>
          <t>BCUR (ShanghaiRanking) 2026</t>
        </is>
      </c>
      <c r="N299" s="4" t="inlineStr">
        <is>
          <t>61</t>
        </is>
      </c>
      <c r="O299" s="4" t="inlineStr">
        <is>
          <t>https://www.topuniversities.com/world-university-rankings (QS WUR 2027)
https://www.shanghairanking.cn/rankings/bcur/2026</t>
        </is>
      </c>
      <c r="P299" s="4" t="n"/>
    </row>
    <row r="300">
      <c r="A300" s="3" t="inlineStr">
        <is>
          <t>China|Sun Yat-sen University</t>
        </is>
      </c>
      <c r="B300" s="3" t="inlineStr">
        <is>
          <t>China</t>
        </is>
      </c>
      <c r="C300" s="3" t="inlineStr">
        <is>
          <t>Гуанчжоу</t>
        </is>
      </c>
      <c r="D300" s="3" t="inlineStr">
        <is>
          <t>Sun Yat-sen University</t>
        </is>
      </c>
      <c r="E300" s="3" t="inlineStr">
        <is>
          <t>中山大学</t>
        </is>
      </c>
      <c r="F300" s="3" t="inlineStr">
        <is>
          <t>https://www.sysu.edu.cn</t>
        </is>
      </c>
      <c r="G300" s="3" t="inlineStr">
        <is>
          <t>QS2027: 258</t>
        </is>
      </c>
      <c r="H300" s="3" t="inlineStr">
        <is>
          <t>THE2027: =205</t>
        </is>
      </c>
      <c r="I300" s="3" t="inlineStr">
        <is>
          <t>BCUR2026: 13</t>
        </is>
      </c>
      <c r="J300" s="4">
        <f>258</f>
        <v/>
      </c>
      <c r="K300" s="4">
        <f>205</f>
        <v/>
      </c>
      <c r="L300" s="4" t="inlineStr">
        <is>
          <t>90</t>
        </is>
      </c>
      <c r="M300" s="4" t="inlineStr">
        <is>
          <t>BCUR (ShanghaiRanking) 2026</t>
        </is>
      </c>
      <c r="N300" s="4" t="inlineStr">
        <is>
          <t>13</t>
        </is>
      </c>
      <c r="O30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300" s="4" t="n"/>
    </row>
    <row r="301">
      <c r="A301" s="3" t="inlineStr">
        <is>
          <t>China|Taiyuan University of Technology</t>
        </is>
      </c>
      <c r="B301" s="3" t="inlineStr">
        <is>
          <t>China</t>
        </is>
      </c>
      <c r="C301" s="3" t="inlineStr">
        <is>
          <t>Тайюань</t>
        </is>
      </c>
      <c r="D301" s="3" t="inlineStr">
        <is>
          <t>Taiyuan University of Technology</t>
        </is>
      </c>
      <c r="E301" s="3" t="inlineStr">
        <is>
          <t>太原理工大学</t>
        </is>
      </c>
      <c r="F301" s="3" t="inlineStr">
        <is>
          <t>https://www.tyut.edu.cn</t>
        </is>
      </c>
      <c r="G301" s="3" t="inlineStr"/>
      <c r="H301" s="3" t="inlineStr"/>
      <c r="I301" s="3" t="inlineStr">
        <is>
          <t>BCUR2026: 97</t>
        </is>
      </c>
      <c r="J301" s="4" t="inlineStr">
        <is>
          <t>не в рейтинге</t>
        </is>
      </c>
      <c r="K301" s="4" t="inlineStr">
        <is>
          <t>не в рейтинге</t>
        </is>
      </c>
      <c r="L301" s="4" t="inlineStr">
        <is>
          <t>нет в опубл. списке (опубликован только топ-15 страны)</t>
        </is>
      </c>
      <c r="M301" s="4" t="inlineStr">
        <is>
          <t>BCUR (ShanghaiRanking) 2026</t>
        </is>
      </c>
      <c r="N301" s="4" t="inlineStr">
        <is>
          <t>97</t>
        </is>
      </c>
      <c r="O301" s="4" t="inlineStr">
        <is>
          <t>https://www.shanghairanking.cn/rankings/bcur/2026</t>
        </is>
      </c>
      <c r="P301" s="4" t="n"/>
    </row>
    <row r="302">
      <c r="A302" s="3" t="inlineStr">
        <is>
          <t>China|The Hong Kong Polytechnic University</t>
        </is>
      </c>
      <c r="B302" s="3" t="inlineStr">
        <is>
          <t>China</t>
        </is>
      </c>
      <c r="C302" s="3" t="inlineStr">
        <is>
          <t>Гонконг</t>
        </is>
      </c>
      <c r="D302" s="3" t="inlineStr">
        <is>
          <t>The Hong Kong Polytechnic University</t>
        </is>
      </c>
      <c r="E302" s="3" t="inlineStr">
        <is>
          <t>香港理工大学</t>
        </is>
      </c>
      <c r="F302" s="3" t="inlineStr">
        <is>
          <t>https://www.polyu.edu.hk</t>
        </is>
      </c>
      <c r="G302" s="3" t="inlineStr">
        <is>
          <t>QS2027: 50</t>
        </is>
      </c>
      <c r="H302" s="3" t="inlineStr">
        <is>
          <t>THE2027: 79</t>
        </is>
      </c>
      <c r="I302" s="3" t="inlineStr"/>
      <c r="J302" s="4" t="inlineStr">
        <is>
          <t>50</t>
        </is>
      </c>
      <c r="K302" s="4" t="inlineStr">
        <is>
          <t>79</t>
        </is>
      </c>
      <c r="L302" s="4" t="inlineStr">
        <is>
          <t>нет в опубл. списке (опубликован только топ-15 страны)</t>
        </is>
      </c>
      <c r="M302" s="4" t="inlineStr">
        <is>
          <t>BCUR (ShanghaiRanking) 2026</t>
        </is>
      </c>
      <c r="N302" s="4" t="inlineStr">
        <is>
          <t>—</t>
        </is>
      </c>
      <c r="O302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02" s="4" t="inlineStr">
        <is>
          <t>BCUR охватывает только материковый Китай</t>
        </is>
      </c>
    </row>
    <row r="303">
      <c r="A303" s="3" t="inlineStr">
        <is>
          <t>China|The Hong Kong University of Science and Technology</t>
        </is>
      </c>
      <c r="B303" s="3" t="inlineStr">
        <is>
          <t>China</t>
        </is>
      </c>
      <c r="C303" s="3" t="inlineStr">
        <is>
          <t>Гонконг</t>
        </is>
      </c>
      <c r="D303" s="3" t="inlineStr">
        <is>
          <t>The Hong Kong University of Science and Technology</t>
        </is>
      </c>
      <c r="E303" s="3" t="inlineStr">
        <is>
          <t>香港科技大學 (香港科技大学)</t>
        </is>
      </c>
      <c r="F303" s="3" t="inlineStr">
        <is>
          <t>https://hkust.edu.hk</t>
        </is>
      </c>
      <c r="G303" s="3" t="inlineStr">
        <is>
          <t>QS2027: 33</t>
        </is>
      </c>
      <c r="H303" s="3" t="inlineStr">
        <is>
          <t>THE2027: 58</t>
        </is>
      </c>
      <c r="I303" s="3" t="inlineStr"/>
      <c r="J303" s="4" t="inlineStr">
        <is>
          <t>33</t>
        </is>
      </c>
      <c r="K303" s="4" t="inlineStr">
        <is>
          <t>58</t>
        </is>
      </c>
      <c r="L303" s="4" t="inlineStr">
        <is>
          <t>нет в опубл. списке (опубликован только топ-15 страны)</t>
        </is>
      </c>
      <c r="M303" s="4" t="inlineStr">
        <is>
          <t>BCUR (ShanghaiRanking) 2026</t>
        </is>
      </c>
      <c r="N303" s="4" t="inlineStr">
        <is>
          <t>—</t>
        </is>
      </c>
      <c r="O303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03" s="4" t="inlineStr">
        <is>
          <t>BCUR охватывает только материковый Китай</t>
        </is>
      </c>
    </row>
    <row r="304">
      <c r="A304" s="3" t="inlineStr">
        <is>
          <t>China|The University of Hong Kong</t>
        </is>
      </c>
      <c r="B304" s="3" t="inlineStr">
        <is>
          <t>China</t>
        </is>
      </c>
      <c r="C304" s="3" t="inlineStr">
        <is>
          <t>Гонконг</t>
        </is>
      </c>
      <c r="D304" s="3" t="inlineStr">
        <is>
          <t>The University of Hong Kong</t>
        </is>
      </c>
      <c r="E304" s="3" t="inlineStr">
        <is>
          <t>香港大学</t>
        </is>
      </c>
      <c r="F304" s="3" t="inlineStr">
        <is>
          <t>https://www.hku.hk</t>
        </is>
      </c>
      <c r="G304" s="3" t="inlineStr">
        <is>
          <t>QS2027: 11</t>
        </is>
      </c>
      <c r="H304" s="3" t="inlineStr">
        <is>
          <t>THE2027: 33</t>
        </is>
      </c>
      <c r="I304" s="3" t="inlineStr"/>
      <c r="J304" s="4" t="inlineStr">
        <is>
          <t>11</t>
        </is>
      </c>
      <c r="K304" s="4" t="inlineStr">
        <is>
          <t>33</t>
        </is>
      </c>
      <c r="L304" s="4" t="inlineStr">
        <is>
          <t>нет в опубл. списке (опубликован только топ-15 страны)</t>
        </is>
      </c>
      <c r="M304" s="4" t="inlineStr">
        <is>
          <t>BCUR (ShanghaiRanking) 2026</t>
        </is>
      </c>
      <c r="N304" s="4" t="inlineStr">
        <is>
          <t>—</t>
        </is>
      </c>
      <c r="O304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04" s="4" t="inlineStr">
        <is>
          <t>BCUR охватывает только материковый Китай</t>
        </is>
      </c>
    </row>
    <row r="305">
      <c r="A305" s="3" t="inlineStr">
        <is>
          <t>China|Tiangong University</t>
        </is>
      </c>
      <c r="B305" s="3" t="inlineStr">
        <is>
          <t>China</t>
        </is>
      </c>
      <c r="C305" s="3" t="inlineStr">
        <is>
          <t>Тяньцзинь</t>
        </is>
      </c>
      <c r="D305" s="3" t="inlineStr">
        <is>
          <t>Tiangong University</t>
        </is>
      </c>
      <c r="E305" s="3" t="inlineStr">
        <is>
          <t>天津工业大学</t>
        </is>
      </c>
      <c r="F305" s="3" t="inlineStr">
        <is>
          <t>https://www.tiangong.edu.cn</t>
        </is>
      </c>
      <c r="G305" s="3" t="inlineStr"/>
      <c r="H305" s="3" t="inlineStr">
        <is>
          <t>THE2027: 1401-1600</t>
        </is>
      </c>
      <c r="I305" s="3" t="inlineStr">
        <is>
          <t>BCUR2026: 133</t>
        </is>
      </c>
      <c r="J305" s="4" t="inlineStr">
        <is>
          <t>не в рейтинге</t>
        </is>
      </c>
      <c r="K305" s="4" t="inlineStr">
        <is>
          <t>1401–1600</t>
        </is>
      </c>
      <c r="L305" s="4" t="inlineStr">
        <is>
          <t>нет в опубл. списке (опубликован только топ-15 страны)</t>
        </is>
      </c>
      <c r="M305" s="4" t="inlineStr">
        <is>
          <t>BCUR (ShanghaiRanking) 2026</t>
        </is>
      </c>
      <c r="N305" s="4" t="inlineStr">
        <is>
          <t>133</t>
        </is>
      </c>
      <c r="O305" s="4" t="inlineStr">
        <is>
          <t>https://www.timeshighereducation.com/world-university-rankings/2027/world-ranking
https://www.shanghairanking.cn/rankings/bcur/2026</t>
        </is>
      </c>
      <c r="P305" s="4" t="n"/>
    </row>
    <row r="306">
      <c r="A306" s="3" t="inlineStr">
        <is>
          <t>China|Tianjin Normal University</t>
        </is>
      </c>
      <c r="B306" s="3" t="inlineStr">
        <is>
          <t>China</t>
        </is>
      </c>
      <c r="C306" s="3" t="inlineStr">
        <is>
          <t>Тяньцзинь</t>
        </is>
      </c>
      <c r="D306" s="3" t="inlineStr">
        <is>
          <t>Tianjin Normal University</t>
        </is>
      </c>
      <c r="E306" s="3" t="inlineStr">
        <is>
          <t>天津师范大学</t>
        </is>
      </c>
      <c r="F306" s="3" t="inlineStr">
        <is>
          <t>https://www.tjnu.edu.cn</t>
        </is>
      </c>
      <c r="G306" s="3" t="inlineStr"/>
      <c r="H306" s="3" t="inlineStr">
        <is>
          <t>THE2027: 1401–1600</t>
        </is>
      </c>
      <c r="I306" s="3" t="inlineStr">
        <is>
          <t>BCUR2026: 160</t>
        </is>
      </c>
      <c r="J306" s="4" t="inlineStr">
        <is>
          <t>не в рейтинге</t>
        </is>
      </c>
      <c r="K306" s="4" t="inlineStr">
        <is>
          <t>1401–1600</t>
        </is>
      </c>
      <c r="L306" s="4" t="inlineStr">
        <is>
          <t>нет в опубл. списке (опубликован только топ-15 страны)</t>
        </is>
      </c>
      <c r="M306" s="4" t="inlineStr">
        <is>
          <t>BCUR (ShanghaiRanking) 2026</t>
        </is>
      </c>
      <c r="N306" s="4" t="inlineStr">
        <is>
          <t>160</t>
        </is>
      </c>
      <c r="O306" s="4" t="inlineStr">
        <is>
          <t>https://www.timeshighereducation.com/world-university-rankings/2027/world-ranking
https://www.shanghairanking.cn/rankings/bcur/2026</t>
        </is>
      </c>
      <c r="P306" s="4" t="n"/>
    </row>
    <row r="307">
      <c r="A307" s="3" t="inlineStr">
        <is>
          <t>China|Tianjin University</t>
        </is>
      </c>
      <c r="B307" s="3" t="inlineStr">
        <is>
          <t>China</t>
        </is>
      </c>
      <c r="C307" s="3" t="inlineStr">
        <is>
          <t>Тяньцзинь</t>
        </is>
      </c>
      <c r="D307" s="3" t="inlineStr">
        <is>
          <t>Tianjin University</t>
        </is>
      </c>
      <c r="E307" s="3" t="inlineStr">
        <is>
          <t>天津大学</t>
        </is>
      </c>
      <c r="F307" s="3" t="inlineStr">
        <is>
          <t>https://www.tju.edu.cn</t>
        </is>
      </c>
      <c r="G307" s="3" t="inlineStr">
        <is>
          <t>QS2027: 235</t>
        </is>
      </c>
      <c r="H307" s="3" t="inlineStr">
        <is>
          <t>THE2027: =196</t>
        </is>
      </c>
      <c r="I307" s="3" t="inlineStr">
        <is>
          <t>BCUR2026: 20</t>
        </is>
      </c>
      <c r="J307" s="4">
        <f>235</f>
        <v/>
      </c>
      <c r="K307" s="4">
        <f>196</f>
        <v/>
      </c>
      <c r="L307" s="4" t="inlineStr">
        <is>
          <t>нет в опубл. списке (опубликован только топ-15 страны)</t>
        </is>
      </c>
      <c r="M307" s="4" t="inlineStr">
        <is>
          <t>BCUR (ShanghaiRanking) 2026</t>
        </is>
      </c>
      <c r="N307" s="4" t="inlineStr">
        <is>
          <t>20</t>
        </is>
      </c>
      <c r="O307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07" s="4" t="n"/>
    </row>
    <row r="308">
      <c r="A308" s="3" t="inlineStr">
        <is>
          <t>China|Tianjin University of Science and Technology</t>
        </is>
      </c>
      <c r="B308" s="3" t="inlineStr">
        <is>
          <t>China</t>
        </is>
      </c>
      <c r="C308" s="3" t="inlineStr">
        <is>
          <t>Тяньцзинь</t>
        </is>
      </c>
      <c r="D308" s="3" t="inlineStr">
        <is>
          <t>Tianjin University of Science and Technology</t>
        </is>
      </c>
      <c r="E308" s="3" t="inlineStr">
        <is>
          <t>天津科技大学</t>
        </is>
      </c>
      <c r="F308" s="3" t="inlineStr">
        <is>
          <t>https://www.tust.edu.cn</t>
        </is>
      </c>
      <c r="G308" s="3" t="inlineStr"/>
      <c r="H308" s="3" t="inlineStr"/>
      <c r="I308" s="3" t="inlineStr">
        <is>
          <t>BCUR2026: 158</t>
        </is>
      </c>
      <c r="J308" s="4" t="inlineStr">
        <is>
          <t>не в рейтинге</t>
        </is>
      </c>
      <c r="K308" s="4" t="inlineStr">
        <is>
          <t>не в рейтинге</t>
        </is>
      </c>
      <c r="L308" s="4" t="inlineStr">
        <is>
          <t>нет в опубл. списке (опубликован только топ-15 страны)</t>
        </is>
      </c>
      <c r="M308" s="4" t="inlineStr">
        <is>
          <t>BCUR (ShanghaiRanking) 2026</t>
        </is>
      </c>
      <c r="N308" s="4" t="inlineStr">
        <is>
          <t>158</t>
        </is>
      </c>
      <c r="O308" s="4" t="inlineStr">
        <is>
          <t>https://www.shanghairanking.cn/rankings/bcur/2026</t>
        </is>
      </c>
      <c r="P308" s="4" t="n"/>
    </row>
    <row r="309">
      <c r="A309" s="3" t="inlineStr">
        <is>
          <t>China|Tianjin University of Technology</t>
        </is>
      </c>
      <c r="B309" s="3" t="inlineStr">
        <is>
          <t>China</t>
        </is>
      </c>
      <c r="C309" s="3" t="inlineStr">
        <is>
          <t>Тяньцзинь</t>
        </is>
      </c>
      <c r="D309" s="3" t="inlineStr">
        <is>
          <t>Tianjin University of Technology</t>
        </is>
      </c>
      <c r="E309" s="3" t="inlineStr">
        <is>
          <t>天津理工大学</t>
        </is>
      </c>
      <c r="F309" s="3" t="inlineStr">
        <is>
          <t>https://www.tjut.edu.cn</t>
        </is>
      </c>
      <c r="G309" s="3" t="inlineStr"/>
      <c r="H309" s="3" t="inlineStr"/>
      <c r="I309" s="3" t="inlineStr">
        <is>
          <t>BCUR2026: 170</t>
        </is>
      </c>
      <c r="J309" s="4" t="inlineStr">
        <is>
          <t>не в рейтинге</t>
        </is>
      </c>
      <c r="K309" s="4" t="inlineStr">
        <is>
          <t>не в рейтинге</t>
        </is>
      </c>
      <c r="L309" s="4" t="inlineStr">
        <is>
          <t>нет в опубл. списке (опубликован только топ-15 страны)</t>
        </is>
      </c>
      <c r="M309" s="4" t="inlineStr">
        <is>
          <t>BCUR (ShanghaiRanking) 2026</t>
        </is>
      </c>
      <c r="N309" s="4" t="inlineStr">
        <is>
          <t>170</t>
        </is>
      </c>
      <c r="O309" s="4" t="inlineStr">
        <is>
          <t>https://www.shanghairanking.cn/rankings/bcur/2026</t>
        </is>
      </c>
      <c r="P309" s="4" t="n"/>
    </row>
    <row r="310">
      <c r="A310" s="3" t="inlineStr">
        <is>
          <t>China|Tongji University</t>
        </is>
      </c>
      <c r="B310" s="3" t="inlineStr">
        <is>
          <t>China</t>
        </is>
      </c>
      <c r="C310" s="3" t="inlineStr">
        <is>
          <t>Шанхай</t>
        </is>
      </c>
      <c r="D310" s="3" t="inlineStr">
        <is>
          <t>Tongji University</t>
        </is>
      </c>
      <c r="E310" s="3" t="inlineStr">
        <is>
          <t>同济大学</t>
        </is>
      </c>
      <c r="F310" s="3" t="inlineStr">
        <is>
          <t>https://www.tongji.edu.cn</t>
        </is>
      </c>
      <c r="G310" s="3" t="inlineStr">
        <is>
          <t>QS2027: 146</t>
        </is>
      </c>
      <c r="H310" s="3" t="inlineStr">
        <is>
          <t>THE2027: 124</t>
        </is>
      </c>
      <c r="I310" s="3" t="inlineStr">
        <is>
          <t>BCUR2026: 18</t>
        </is>
      </c>
      <c r="J310" s="4" t="inlineStr">
        <is>
          <t>146</t>
        </is>
      </c>
      <c r="K310" s="4" t="inlineStr">
        <is>
          <t>124</t>
        </is>
      </c>
      <c r="L310" s="4" t="inlineStr">
        <is>
          <t>121</t>
        </is>
      </c>
      <c r="M310" s="4" t="inlineStr">
        <is>
          <t>BCUR (ShanghaiRanking) 2026</t>
        </is>
      </c>
      <c r="N310" s="4" t="inlineStr">
        <is>
          <t>18</t>
        </is>
      </c>
      <c r="O31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310" s="4" t="n"/>
    </row>
    <row r="311">
      <c r="A311" s="3" t="inlineStr">
        <is>
          <t>China|Tsinghua University</t>
        </is>
      </c>
      <c r="B311" s="3" t="inlineStr">
        <is>
          <t>China</t>
        </is>
      </c>
      <c r="C311" s="3" t="inlineStr">
        <is>
          <t>Пекин</t>
        </is>
      </c>
      <c r="D311" s="3" t="inlineStr">
        <is>
          <t>Tsinghua University</t>
        </is>
      </c>
      <c r="E311" s="3" t="inlineStr">
        <is>
          <t>清华大学</t>
        </is>
      </c>
      <c r="F311" s="3" t="inlineStr">
        <is>
          <t>https://www.tsinghua.edu.cn</t>
        </is>
      </c>
      <c r="G311" s="3" t="inlineStr">
        <is>
          <t>QS2027: 14</t>
        </is>
      </c>
      <c r="H311" s="3" t="inlineStr">
        <is>
          <t>THE2027: 11</t>
        </is>
      </c>
      <c r="I311" s="3" t="inlineStr">
        <is>
          <t>BCUR2026: 1</t>
        </is>
      </c>
      <c r="J311" s="4" t="inlineStr">
        <is>
          <t>14</t>
        </is>
      </c>
      <c r="K311" s="4" t="inlineStr">
        <is>
          <t>11</t>
        </is>
      </c>
      <c r="L311" s="4" t="inlineStr">
        <is>
          <t>15</t>
        </is>
      </c>
      <c r="M311" s="4" t="inlineStr">
        <is>
          <t>BCUR (ShanghaiRanking) 2026</t>
        </is>
      </c>
      <c r="N311" s="4" t="inlineStr">
        <is>
          <t>1</t>
        </is>
      </c>
      <c r="O31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311" s="4" t="n"/>
    </row>
    <row r="312">
      <c r="A312" s="3" t="inlineStr">
        <is>
          <t>China|University of Electronic Science and Technology of China</t>
        </is>
      </c>
      <c r="B312" s="3" t="inlineStr">
        <is>
          <t>China</t>
        </is>
      </c>
      <c r="C312" s="3" t="inlineStr">
        <is>
          <t>Чэнду</t>
        </is>
      </c>
      <c r="D312" s="3" t="inlineStr">
        <is>
          <t>University of Electronic Science and Technology of China</t>
        </is>
      </c>
      <c r="E312" s="3" t="inlineStr">
        <is>
          <t>电子科技大学</t>
        </is>
      </c>
      <c r="F312" s="3" t="inlineStr">
        <is>
          <t>https://www.uestc.edu.cn</t>
        </is>
      </c>
      <c r="G312" s="3" t="inlineStr">
        <is>
          <t>QS2027: 488</t>
        </is>
      </c>
      <c r="H312" s="3" t="inlineStr">
        <is>
          <t>THE2027: 351–375</t>
        </is>
      </c>
      <c r="I312" s="3" t="inlineStr">
        <is>
          <t>BCUR2026: 33</t>
        </is>
      </c>
      <c r="J312" s="4">
        <f>488</f>
        <v/>
      </c>
      <c r="K312" s="4" t="inlineStr">
        <is>
          <t>351–375</t>
        </is>
      </c>
      <c r="L312" s="4" t="inlineStr">
        <is>
          <t>нет в опубл. списке (опубликован только топ-15 страны)</t>
        </is>
      </c>
      <c r="M312" s="4" t="inlineStr">
        <is>
          <t>BCUR (ShanghaiRanking) 2026</t>
        </is>
      </c>
      <c r="N312" s="4" t="inlineStr">
        <is>
          <t>33</t>
        </is>
      </c>
      <c r="O312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12" s="4" t="n"/>
    </row>
    <row r="313">
      <c r="A313" s="3" t="inlineStr">
        <is>
          <t>China|University of Jinan</t>
        </is>
      </c>
      <c r="B313" s="3" t="inlineStr">
        <is>
          <t>China</t>
        </is>
      </c>
      <c r="C313" s="3" t="inlineStr">
        <is>
          <t>Цзинань</t>
        </is>
      </c>
      <c r="D313" s="3" t="inlineStr">
        <is>
          <t>University of Jinan</t>
        </is>
      </c>
      <c r="E313" s="3" t="inlineStr">
        <is>
          <t>济南大学</t>
        </is>
      </c>
      <c r="F313" s="3" t="inlineStr">
        <is>
          <t>https://www.ujn.edu.cn</t>
        </is>
      </c>
      <c r="G313" s="3" t="inlineStr"/>
      <c r="H313" s="3" t="inlineStr"/>
      <c r="I313" s="3" t="inlineStr">
        <is>
          <t>BCUR2026: 175</t>
        </is>
      </c>
      <c r="J313" s="4" t="inlineStr">
        <is>
          <t>не в рейтинге</t>
        </is>
      </c>
      <c r="K313" s="4" t="inlineStr">
        <is>
          <t>не в рейтинге</t>
        </is>
      </c>
      <c r="L313" s="4" t="inlineStr">
        <is>
          <t>нет в опубл. списке (опубликован только топ-15 страны)</t>
        </is>
      </c>
      <c r="M313" s="4" t="inlineStr">
        <is>
          <t>BCUR (ShanghaiRanking) 2026</t>
        </is>
      </c>
      <c r="N313" s="4" t="inlineStr">
        <is>
          <t>175</t>
        </is>
      </c>
      <c r="O313" s="4" t="inlineStr">
        <is>
          <t>https://www.shanghairanking.cn/rankings/bcur/2026</t>
        </is>
      </c>
      <c r="P313" s="4" t="n"/>
    </row>
    <row r="314">
      <c r="A314" s="3" t="inlineStr">
        <is>
          <t>China|University of Science and Technology Beijing</t>
        </is>
      </c>
      <c r="B314" s="3" t="inlineStr">
        <is>
          <t>China</t>
        </is>
      </c>
      <c r="C314" s="3" t="inlineStr">
        <is>
          <t>Пекин</t>
        </is>
      </c>
      <c r="D314" s="3" t="inlineStr">
        <is>
          <t>University of Science and Technology Beijing</t>
        </is>
      </c>
      <c r="E314" s="3" t="inlineStr">
        <is>
          <t>北京科技大学</t>
        </is>
      </c>
      <c r="F314" s="3" t="inlineStr">
        <is>
          <t>https://www.ustb.edu.cn</t>
        </is>
      </c>
      <c r="G314" s="3" t="inlineStr">
        <is>
          <t>QS2027: =443</t>
        </is>
      </c>
      <c r="H314" s="3" t="inlineStr"/>
      <c r="I314" s="3" t="inlineStr">
        <is>
          <t>BCUR2026: 35</t>
        </is>
      </c>
      <c r="J314" s="4">
        <f>443</f>
        <v/>
      </c>
      <c r="K314" s="4" t="inlineStr">
        <is>
          <t>не в рейтинге</t>
        </is>
      </c>
      <c r="L314" s="4" t="inlineStr">
        <is>
          <t>нет в опубл. списке (опубликован только топ-15 страны)</t>
        </is>
      </c>
      <c r="M314" s="4" t="inlineStr">
        <is>
          <t>BCUR (ShanghaiRanking) 2026</t>
        </is>
      </c>
      <c r="N314" s="4" t="inlineStr">
        <is>
          <t>35</t>
        </is>
      </c>
      <c r="O314" s="4" t="inlineStr">
        <is>
          <t>https://www.topuniversities.com/world-university-rankings (QS WUR 2027)
https://www.shanghairanking.cn/rankings/bcur/2026</t>
        </is>
      </c>
      <c r="P314" s="4" t="n"/>
    </row>
    <row r="315">
      <c r="A315" s="3" t="inlineStr">
        <is>
          <t>China|University of Science and Technology of China</t>
        </is>
      </c>
      <c r="B315" s="3" t="inlineStr">
        <is>
          <t>China</t>
        </is>
      </c>
      <c r="C315" s="3" t="inlineStr">
        <is>
          <t>Хэфэй</t>
        </is>
      </c>
      <c r="D315" s="3" t="inlineStr">
        <is>
          <t>University of Science and Technology of China</t>
        </is>
      </c>
      <c r="E315" s="3" t="inlineStr">
        <is>
          <t>中国科学技术大学</t>
        </is>
      </c>
      <c r="F315" s="3" t="inlineStr">
        <is>
          <t>https://www.ustc.edu.cn</t>
        </is>
      </c>
      <c r="G315" s="3" t="inlineStr">
        <is>
          <t>QS2027: 134</t>
        </is>
      </c>
      <c r="H315" s="3" t="inlineStr">
        <is>
          <t>THE2027: =51</t>
        </is>
      </c>
      <c r="I315" s="3" t="inlineStr">
        <is>
          <t>BCUR2026: 7</t>
        </is>
      </c>
      <c r="J315" s="4">
        <f>134</f>
        <v/>
      </c>
      <c r="K315" s="4">
        <f>51</f>
        <v/>
      </c>
      <c r="L315" s="4" t="inlineStr">
        <is>
          <t>60</t>
        </is>
      </c>
      <c r="M315" s="4" t="inlineStr">
        <is>
          <t>BCUR (ShanghaiRanking) 2026</t>
        </is>
      </c>
      <c r="N315" s="4" t="inlineStr">
        <is>
          <t>7</t>
        </is>
      </c>
      <c r="O31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315" s="4" t="n"/>
    </row>
    <row r="316">
      <c r="A316" s="3" t="inlineStr">
        <is>
          <t>China|University of Shanghai for Science and Technology</t>
        </is>
      </c>
      <c r="B316" s="3" t="inlineStr">
        <is>
          <t>China</t>
        </is>
      </c>
      <c r="C316" s="3" t="inlineStr">
        <is>
          <t>Шанхай</t>
        </is>
      </c>
      <c r="D316" s="3" t="inlineStr">
        <is>
          <t>University of Shanghai for Science and Technology</t>
        </is>
      </c>
      <c r="E316" s="3" t="inlineStr">
        <is>
          <t>上海理工大学</t>
        </is>
      </c>
      <c r="F316" s="3" t="inlineStr">
        <is>
          <t>https://www.usst.edu.cn</t>
        </is>
      </c>
      <c r="G316" s="3" t="inlineStr"/>
      <c r="H316" s="3" t="inlineStr"/>
      <c r="I316" s="3" t="inlineStr">
        <is>
          <t>BCUR2026: 106</t>
        </is>
      </c>
      <c r="J316" s="4" t="inlineStr">
        <is>
          <t>не в рейтинге</t>
        </is>
      </c>
      <c r="K316" s="4" t="inlineStr">
        <is>
          <t>не в рейтинге</t>
        </is>
      </c>
      <c r="L316" s="4" t="inlineStr">
        <is>
          <t>нет в опубл. списке (опубликован только топ-15 страны)</t>
        </is>
      </c>
      <c r="M316" s="4" t="inlineStr">
        <is>
          <t>BCUR (ShanghaiRanking) 2026</t>
        </is>
      </c>
      <c r="N316" s="4" t="inlineStr">
        <is>
          <t>106</t>
        </is>
      </c>
      <c r="O316" s="4" t="inlineStr">
        <is>
          <t>https://www.shanghairanking.cn/rankings/bcur/2026</t>
        </is>
      </c>
      <c r="P316" s="4" t="n"/>
    </row>
    <row r="317">
      <c r="A317" s="3" t="inlineStr">
        <is>
          <t>China|Wenzhou University</t>
        </is>
      </c>
      <c r="B317" s="3" t="inlineStr">
        <is>
          <t>China</t>
        </is>
      </c>
      <c r="C317" s="3" t="inlineStr">
        <is>
          <t>Вэньчжоу</t>
        </is>
      </c>
      <c r="D317" s="3" t="inlineStr">
        <is>
          <t>Wenzhou University</t>
        </is>
      </c>
      <c r="E317" s="3" t="inlineStr">
        <is>
          <t>温州大学</t>
        </is>
      </c>
      <c r="F317" s="3" t="inlineStr">
        <is>
          <t>https://www.wzu.edu.cn</t>
        </is>
      </c>
      <c r="G317" s="3" t="inlineStr"/>
      <c r="H317" s="3" t="inlineStr">
        <is>
          <t>THE2027: 801–1000</t>
        </is>
      </c>
      <c r="I317" s="3" t="inlineStr">
        <is>
          <t>BCUR2026: 129</t>
        </is>
      </c>
      <c r="J317" s="4" t="inlineStr">
        <is>
          <t>не в рейтинге</t>
        </is>
      </c>
      <c r="K317" s="4" t="inlineStr">
        <is>
          <t>801–1000</t>
        </is>
      </c>
      <c r="L317" s="4" t="inlineStr">
        <is>
          <t>нет в опубл. списке (опубликован только топ-15 страны)</t>
        </is>
      </c>
      <c r="M317" s="4" t="inlineStr">
        <is>
          <t>BCUR (ShanghaiRanking) 2026</t>
        </is>
      </c>
      <c r="N317" s="4" t="inlineStr">
        <is>
          <t>129</t>
        </is>
      </c>
      <c r="O317" s="4" t="inlineStr">
        <is>
          <t>https://www.timeshighereducation.com/world-university-rankings/2027/world-ranking
https://www.shanghairanking.cn/rankings/bcur/2026</t>
        </is>
      </c>
      <c r="P317" s="4" t="n"/>
    </row>
    <row r="318">
      <c r="A318" s="3" t="inlineStr">
        <is>
          <t>China|Wuhan Textile University</t>
        </is>
      </c>
      <c r="B318" s="3" t="inlineStr">
        <is>
          <t>China</t>
        </is>
      </c>
      <c r="C318" s="3" t="inlineStr">
        <is>
          <t>Ухань</t>
        </is>
      </c>
      <c r="D318" s="3" t="inlineStr">
        <is>
          <t>Wuhan Textile University</t>
        </is>
      </c>
      <c r="E318" s="3" t="inlineStr">
        <is>
          <t>武汉纺织大学</t>
        </is>
      </c>
      <c r="F318" s="3" t="inlineStr">
        <is>
          <t>https://www.wtu.edu.cn</t>
        </is>
      </c>
      <c r="G318" s="3" t="inlineStr"/>
      <c r="H318" s="3" t="inlineStr">
        <is>
          <t>THE2027: 1201–1400</t>
        </is>
      </c>
      <c r="I318" s="3" t="inlineStr">
        <is>
          <t>BCUR2026: 159</t>
        </is>
      </c>
      <c r="J318" s="4" t="inlineStr">
        <is>
          <t>не в рейтинге</t>
        </is>
      </c>
      <c r="K318" s="4" t="inlineStr">
        <is>
          <t>1201–1400</t>
        </is>
      </c>
      <c r="L318" s="4" t="inlineStr">
        <is>
          <t>нет в опубл. списке (опубликован только топ-15 страны)</t>
        </is>
      </c>
      <c r="M318" s="4" t="inlineStr">
        <is>
          <t>BCUR (ShanghaiRanking) 2026</t>
        </is>
      </c>
      <c r="N318" s="4" t="inlineStr">
        <is>
          <t>159</t>
        </is>
      </c>
      <c r="O318" s="4" t="inlineStr">
        <is>
          <t>https://www.timeshighereducation.com/world-university-rankings/2027/world-ranking
https://www.shanghairanking.cn/rankings/bcur/2026</t>
        </is>
      </c>
      <c r="P318" s="4" t="n"/>
    </row>
    <row r="319">
      <c r="A319" s="3" t="inlineStr">
        <is>
          <t>China|Wuhan University</t>
        </is>
      </c>
      <c r="B319" s="3" t="inlineStr">
        <is>
          <t>China</t>
        </is>
      </c>
      <c r="C319" s="3" t="inlineStr">
        <is>
          <t>Ухань</t>
        </is>
      </c>
      <c r="D319" s="3" t="inlineStr">
        <is>
          <t>Wuhan University</t>
        </is>
      </c>
      <c r="E319" s="3" t="inlineStr">
        <is>
          <t>武汉大学</t>
        </is>
      </c>
      <c r="F319" s="3" t="inlineStr">
        <is>
          <t>https://www.whu.edu.cn</t>
        </is>
      </c>
      <c r="G319" s="3" t="inlineStr">
        <is>
          <t>QS2027: 165</t>
        </is>
      </c>
      <c r="H319" s="3" t="inlineStr">
        <is>
          <t>THE2027: =121</t>
        </is>
      </c>
      <c r="I319" s="3" t="inlineStr">
        <is>
          <t>BCUR2026: 8</t>
        </is>
      </c>
      <c r="J319" s="4">
        <f>165</f>
        <v/>
      </c>
      <c r="K319" s="4">
        <f>121</f>
        <v/>
      </c>
      <c r="L319" s="4" t="inlineStr">
        <is>
          <t>101</t>
        </is>
      </c>
      <c r="M319" s="4" t="inlineStr">
        <is>
          <t>BCUR (ShanghaiRanking) 2026</t>
        </is>
      </c>
      <c r="N319" s="4" t="inlineStr">
        <is>
          <t>8</t>
        </is>
      </c>
      <c r="O31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319" s="4" t="n"/>
    </row>
    <row r="320">
      <c r="A320" s="3" t="inlineStr">
        <is>
          <t>China|Wuhan University of Science and Technology</t>
        </is>
      </c>
      <c r="B320" s="3" t="inlineStr">
        <is>
          <t>China</t>
        </is>
      </c>
      <c r="C320" s="3" t="inlineStr">
        <is>
          <t>Ухань</t>
        </is>
      </c>
      <c r="D320" s="3" t="inlineStr">
        <is>
          <t>Wuhan University of Science and Technology</t>
        </is>
      </c>
      <c r="E320" s="3" t="inlineStr">
        <is>
          <t>武汉科技大学</t>
        </is>
      </c>
      <c r="F320" s="3" t="inlineStr">
        <is>
          <t>https://www.wust.edu.cn</t>
        </is>
      </c>
      <c r="G320" s="3" t="inlineStr"/>
      <c r="H320" s="3" t="inlineStr"/>
      <c r="I320" s="3" t="inlineStr">
        <is>
          <t>BCUR2026: 123</t>
        </is>
      </c>
      <c r="J320" s="4" t="inlineStr">
        <is>
          <t>не в рейтинге</t>
        </is>
      </c>
      <c r="K320" s="4" t="inlineStr">
        <is>
          <t>не в рейтинге</t>
        </is>
      </c>
      <c r="L320" s="4" t="inlineStr">
        <is>
          <t>нет в опубл. списке (опубликован только топ-15 страны)</t>
        </is>
      </c>
      <c r="M320" s="4" t="inlineStr">
        <is>
          <t>BCUR (ShanghaiRanking) 2026</t>
        </is>
      </c>
      <c r="N320" s="4" t="inlineStr">
        <is>
          <t>123</t>
        </is>
      </c>
      <c r="O320" s="4" t="inlineStr">
        <is>
          <t>https://www.shanghairanking.cn/rankings/bcur/2026</t>
        </is>
      </c>
      <c r="P320" s="4" t="n"/>
    </row>
    <row r="321">
      <c r="A321" s="3" t="inlineStr">
        <is>
          <t>China|Wuhan University of Technology</t>
        </is>
      </c>
      <c r="B321" s="3" t="inlineStr">
        <is>
          <t>China</t>
        </is>
      </c>
      <c r="C321" s="3" t="inlineStr">
        <is>
          <t>Ухань</t>
        </is>
      </c>
      <c r="D321" s="3" t="inlineStr">
        <is>
          <t>Wuhan University of Technology</t>
        </is>
      </c>
      <c r="E321" s="3" t="inlineStr">
        <is>
          <t>武汉理工大学</t>
        </is>
      </c>
      <c r="F321" s="3" t="inlineStr">
        <is>
          <t>https://www.whut.edu.cn</t>
        </is>
      </c>
      <c r="G321" s="3" t="inlineStr">
        <is>
          <t>QS2027: 951-1000</t>
        </is>
      </c>
      <c r="H321" s="3" t="inlineStr">
        <is>
          <t>THE2027: 701–800</t>
        </is>
      </c>
      <c r="I321" s="3" t="inlineStr">
        <is>
          <t>BCUR2026: 54</t>
        </is>
      </c>
      <c r="J321" s="4" t="inlineStr">
        <is>
          <t>951–1000</t>
        </is>
      </c>
      <c r="K321" s="4" t="inlineStr">
        <is>
          <t>701–800</t>
        </is>
      </c>
      <c r="L321" s="4" t="inlineStr">
        <is>
          <t>нет в опубл. списке (опубликован только топ-15 страны)</t>
        </is>
      </c>
      <c r="M321" s="4" t="inlineStr">
        <is>
          <t>BCUR (ShanghaiRanking) 2026</t>
        </is>
      </c>
      <c r="N321" s="4" t="inlineStr">
        <is>
          <t>54</t>
        </is>
      </c>
      <c r="O321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21" s="4" t="n"/>
    </row>
    <row r="322">
      <c r="A322" s="3" t="inlineStr">
        <is>
          <t>China|Xi'an Jiaotong University</t>
        </is>
      </c>
      <c r="B322" s="3" t="inlineStr">
        <is>
          <t>China</t>
        </is>
      </c>
      <c r="C322" s="3" t="inlineStr">
        <is>
          <t>Сиань</t>
        </is>
      </c>
      <c r="D322" s="3" t="inlineStr">
        <is>
          <t>Xi'an Jiaotong University</t>
        </is>
      </c>
      <c r="E322" s="3" t="inlineStr">
        <is>
          <t>西安交通大学</t>
        </is>
      </c>
      <c r="F322" s="3" t="inlineStr">
        <is>
          <t>https://www.xjtu.edu.cn</t>
        </is>
      </c>
      <c r="G322" s="3" t="inlineStr">
        <is>
          <t>QS2027: 296</t>
        </is>
      </c>
      <c r="H322" s="3" t="inlineStr">
        <is>
          <t>THE2027: =196</t>
        </is>
      </c>
      <c r="I322" s="3" t="inlineStr">
        <is>
          <t>BCUR2026: 10</t>
        </is>
      </c>
      <c r="J322" s="4">
        <f>296</f>
        <v/>
      </c>
      <c r="K322" s="4">
        <f>196</f>
        <v/>
      </c>
      <c r="L322" s="4" t="inlineStr">
        <is>
          <t>109</t>
        </is>
      </c>
      <c r="M322" s="4" t="inlineStr">
        <is>
          <t>BCUR (ShanghaiRanking) 2026</t>
        </is>
      </c>
      <c r="N322" s="4" t="inlineStr">
        <is>
          <t>10</t>
        </is>
      </c>
      <c r="O32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322" s="4" t="n"/>
    </row>
    <row r="323">
      <c r="A323" s="3" t="inlineStr">
        <is>
          <t>China|Xi'an Technological University</t>
        </is>
      </c>
      <c r="B323" s="3" t="inlineStr">
        <is>
          <t>China</t>
        </is>
      </c>
      <c r="C323" s="3" t="inlineStr">
        <is>
          <t>Сиань</t>
        </is>
      </c>
      <c r="D323" s="3" t="inlineStr">
        <is>
          <t>Xi'an Technological University</t>
        </is>
      </c>
      <c r="E323" s="3" t="inlineStr">
        <is>
          <t>西安工业大学</t>
        </is>
      </c>
      <c r="F323" s="3" t="inlineStr">
        <is>
          <t>https://www.xatu.edu.cn</t>
        </is>
      </c>
      <c r="G323" s="3" t="inlineStr"/>
      <c r="H323" s="3" t="inlineStr"/>
      <c r="I323" s="3" t="inlineStr">
        <is>
          <t>BCUR2026: 206</t>
        </is>
      </c>
      <c r="J323" s="4" t="inlineStr">
        <is>
          <t>не в рейтинге</t>
        </is>
      </c>
      <c r="K323" s="4" t="inlineStr">
        <is>
          <t>не в рейтинге</t>
        </is>
      </c>
      <c r="L323" s="4" t="inlineStr">
        <is>
          <t>нет в опубл. списке (опубликован только топ-15 страны)</t>
        </is>
      </c>
      <c r="M323" s="4" t="inlineStr">
        <is>
          <t>BCUR (ShanghaiRanking) 2026</t>
        </is>
      </c>
      <c r="N323" s="4" t="inlineStr">
        <is>
          <t>206</t>
        </is>
      </c>
      <c r="O323" s="4" t="inlineStr">
        <is>
          <t>https://www.shanghairanking.cn/rankings/bcur/2026</t>
        </is>
      </c>
      <c r="P323" s="4" t="n"/>
    </row>
    <row r="324">
      <c r="A324" s="3" t="inlineStr">
        <is>
          <t>China|Xi'an University of Architecture and Technology</t>
        </is>
      </c>
      <c r="B324" s="3" t="inlineStr">
        <is>
          <t>China</t>
        </is>
      </c>
      <c r="C324" s="3" t="inlineStr">
        <is>
          <t>Сиань</t>
        </is>
      </c>
      <c r="D324" s="3" t="inlineStr">
        <is>
          <t>Xi'an University of Architecture and Technology</t>
        </is>
      </c>
      <c r="E324" s="3" t="inlineStr">
        <is>
          <t>西安建筑科技大学</t>
        </is>
      </c>
      <c r="F324" s="3" t="inlineStr">
        <is>
          <t>https://www.xauat.edu.cn</t>
        </is>
      </c>
      <c r="G324" s="3" t="inlineStr"/>
      <c r="H324" s="3" t="inlineStr"/>
      <c r="I324" s="3" t="inlineStr">
        <is>
          <t>BCUR2026: 118</t>
        </is>
      </c>
      <c r="J324" s="4" t="inlineStr">
        <is>
          <t>не в рейтинге</t>
        </is>
      </c>
      <c r="K324" s="4" t="inlineStr">
        <is>
          <t>не в рейтинге</t>
        </is>
      </c>
      <c r="L324" s="4" t="inlineStr">
        <is>
          <t>нет в опубл. списке (опубликован только топ-15 страны)</t>
        </is>
      </c>
      <c r="M324" s="4" t="inlineStr">
        <is>
          <t>BCUR (ShanghaiRanking) 2026</t>
        </is>
      </c>
      <c r="N324" s="4" t="inlineStr">
        <is>
          <t>118</t>
        </is>
      </c>
      <c r="O324" s="4" t="inlineStr">
        <is>
          <t>https://www.shanghairanking.cn/rankings/bcur/2026</t>
        </is>
      </c>
      <c r="P324" s="4" t="n"/>
    </row>
    <row r="325">
      <c r="A325" s="3" t="inlineStr">
        <is>
          <t>China|Xi'an University of Posts and Telecommunications</t>
        </is>
      </c>
      <c r="B325" s="3" t="inlineStr">
        <is>
          <t>China</t>
        </is>
      </c>
      <c r="C325" s="3" t="inlineStr">
        <is>
          <t>Сиань</t>
        </is>
      </c>
      <c r="D325" s="3" t="inlineStr">
        <is>
          <t>Xi'an University of Posts and Telecommunications</t>
        </is>
      </c>
      <c r="E325" s="3" t="inlineStr">
        <is>
          <t>西安邮电大学</t>
        </is>
      </c>
      <c r="F325" s="3" t="inlineStr">
        <is>
          <t>https://www.xupt.edu.cn</t>
        </is>
      </c>
      <c r="G325" s="3" t="inlineStr"/>
      <c r="H325" s="3" t="inlineStr"/>
      <c r="I325" s="3" t="inlineStr">
        <is>
          <t>BCUR2026: 196</t>
        </is>
      </c>
      <c r="J325" s="4" t="inlineStr">
        <is>
          <t>не в рейтинге</t>
        </is>
      </c>
      <c r="K325" s="4" t="inlineStr">
        <is>
          <t>не в рейтинге</t>
        </is>
      </c>
      <c r="L325" s="4" t="inlineStr">
        <is>
          <t>нет в опубл. списке (опубликован только топ-15 страны)</t>
        </is>
      </c>
      <c r="M325" s="4" t="inlineStr">
        <is>
          <t>BCUR (ShanghaiRanking) 2026</t>
        </is>
      </c>
      <c r="N325" s="4" t="inlineStr">
        <is>
          <t>196</t>
        </is>
      </c>
      <c r="O325" s="4" t="inlineStr">
        <is>
          <t>https://www.shanghairanking.cn/rankings/bcur/2026</t>
        </is>
      </c>
      <c r="P325" s="4" t="n"/>
    </row>
    <row r="326">
      <c r="A326" s="3" t="inlineStr">
        <is>
          <t>China|Xi'an University of Science and Technology</t>
        </is>
      </c>
      <c r="B326" s="3" t="inlineStr">
        <is>
          <t>China</t>
        </is>
      </c>
      <c r="C326" s="3" t="inlineStr">
        <is>
          <t>Сиань</t>
        </is>
      </c>
      <c r="D326" s="3" t="inlineStr">
        <is>
          <t>Xi'an University of Science and Technology</t>
        </is>
      </c>
      <c r="E326" s="3" t="inlineStr">
        <is>
          <t>西安科技大学</t>
        </is>
      </c>
      <c r="F326" s="3" t="inlineStr">
        <is>
          <t>https://www.xust.edu.cn</t>
        </is>
      </c>
      <c r="G326" s="3" t="inlineStr"/>
      <c r="H326" s="3" t="inlineStr"/>
      <c r="I326" s="3" t="inlineStr">
        <is>
          <t>BCUR2026: 186</t>
        </is>
      </c>
      <c r="J326" s="4" t="inlineStr">
        <is>
          <t>не в рейтинге</t>
        </is>
      </c>
      <c r="K326" s="4" t="inlineStr">
        <is>
          <t>не в рейтинге</t>
        </is>
      </c>
      <c r="L326" s="4" t="inlineStr">
        <is>
          <t>нет в опубл. списке (опубликован только топ-15 страны)</t>
        </is>
      </c>
      <c r="M326" s="4" t="inlineStr">
        <is>
          <t>BCUR (ShanghaiRanking) 2026</t>
        </is>
      </c>
      <c r="N326" s="4" t="inlineStr">
        <is>
          <t>186</t>
        </is>
      </c>
      <c r="O326" s="4" t="inlineStr">
        <is>
          <t>https://www.shanghairanking.cn/rankings/bcur/2026</t>
        </is>
      </c>
      <c r="P326" s="4" t="n"/>
    </row>
    <row r="327">
      <c r="A327" s="3" t="inlineStr">
        <is>
          <t>China|Xi'an University of Technology</t>
        </is>
      </c>
      <c r="B327" s="3" t="inlineStr">
        <is>
          <t>China</t>
        </is>
      </c>
      <c r="C327" s="3" t="inlineStr">
        <is>
          <t>Сиань</t>
        </is>
      </c>
      <c r="D327" s="3" t="inlineStr">
        <is>
          <t>Xi'an University of Technology</t>
        </is>
      </c>
      <c r="E327" s="3" t="inlineStr">
        <is>
          <t>西安理工大学</t>
        </is>
      </c>
      <c r="F327" s="3" t="inlineStr">
        <is>
          <t>https://www.xaut.edu.cn</t>
        </is>
      </c>
      <c r="G327" s="3" t="inlineStr"/>
      <c r="H327" s="3" t="inlineStr"/>
      <c r="I327" s="3" t="inlineStr">
        <is>
          <t>BCUR2026: 111</t>
        </is>
      </c>
      <c r="J327" s="4" t="inlineStr">
        <is>
          <t>не в рейтинге</t>
        </is>
      </c>
      <c r="K327" s="4" t="inlineStr">
        <is>
          <t>не в рейтинге</t>
        </is>
      </c>
      <c r="L327" s="4" t="inlineStr">
        <is>
          <t>нет в опубл. списке (опубликован только топ-15 страны)</t>
        </is>
      </c>
      <c r="M327" s="4" t="inlineStr">
        <is>
          <t>BCUR (ShanghaiRanking) 2026</t>
        </is>
      </c>
      <c r="N327" s="4" t="inlineStr">
        <is>
          <t>111</t>
        </is>
      </c>
      <c r="O327" s="4" t="inlineStr">
        <is>
          <t>https://www.shanghairanking.cn/rankings/bcur/2026</t>
        </is>
      </c>
      <c r="P327" s="4" t="n"/>
    </row>
    <row r="328">
      <c r="A328" s="3" t="inlineStr">
        <is>
          <t>China|Xiamen University</t>
        </is>
      </c>
      <c r="B328" s="3" t="inlineStr">
        <is>
          <t>China</t>
        </is>
      </c>
      <c r="C328" s="3" t="inlineStr">
        <is>
          <t>Сямэнь</t>
        </is>
      </c>
      <c r="D328" s="3" t="inlineStr">
        <is>
          <t>Xiamen University</t>
        </is>
      </c>
      <c r="E328" s="3" t="inlineStr">
        <is>
          <t>厦门大学</t>
        </is>
      </c>
      <c r="F328" s="3" t="inlineStr">
        <is>
          <t>https://www.xmu.edu.cn</t>
        </is>
      </c>
      <c r="G328" s="3" t="inlineStr">
        <is>
          <t>QS2027: 303</t>
        </is>
      </c>
      <c r="H328" s="3" t="inlineStr">
        <is>
          <t>THE2027: =224</t>
        </is>
      </c>
      <c r="I328" s="3" t="inlineStr">
        <is>
          <t>BCUR2026: 25</t>
        </is>
      </c>
      <c r="J328" s="4">
        <f>303</f>
        <v/>
      </c>
      <c r="K328" s="4">
        <f>224</f>
        <v/>
      </c>
      <c r="L328" s="4" t="inlineStr">
        <is>
          <t>нет в опубл. списке (опубликован только топ-15 страны)</t>
        </is>
      </c>
      <c r="M328" s="4" t="inlineStr">
        <is>
          <t>BCUR (ShanghaiRanking) 2026</t>
        </is>
      </c>
      <c r="N328" s="4" t="inlineStr">
        <is>
          <t>25</t>
        </is>
      </c>
      <c r="O328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28" s="4" t="n"/>
    </row>
    <row r="329">
      <c r="A329" s="3" t="inlineStr">
        <is>
          <t>China|Xiangtan University</t>
        </is>
      </c>
      <c r="B329" s="3" t="inlineStr">
        <is>
          <t>China</t>
        </is>
      </c>
      <c r="C329" s="3" t="inlineStr">
        <is>
          <t>Сянтань</t>
        </is>
      </c>
      <c r="D329" s="3" t="inlineStr">
        <is>
          <t>Xiangtan University</t>
        </is>
      </c>
      <c r="E329" s="3" t="inlineStr">
        <is>
          <t>湘潭大学</t>
        </is>
      </c>
      <c r="F329" s="3" t="inlineStr">
        <is>
          <t>https://www.xtu.edu.cn</t>
        </is>
      </c>
      <c r="G329" s="3" t="inlineStr"/>
      <c r="H329" s="3" t="inlineStr">
        <is>
          <t>THE2027: 1001–1200</t>
        </is>
      </c>
      <c r="I329" s="3" t="inlineStr">
        <is>
          <t>BCUR2026: 117</t>
        </is>
      </c>
      <c r="J329" s="4" t="inlineStr">
        <is>
          <t>не в рейтинге</t>
        </is>
      </c>
      <c r="K329" s="4" t="inlineStr">
        <is>
          <t>1001–1200</t>
        </is>
      </c>
      <c r="L329" s="4" t="inlineStr">
        <is>
          <t>нет в опубл. списке (опубликован только топ-15 страны)</t>
        </is>
      </c>
      <c r="M329" s="4" t="inlineStr">
        <is>
          <t>BCUR (ShanghaiRanking) 2026</t>
        </is>
      </c>
      <c r="N329" s="4" t="inlineStr">
        <is>
          <t>117</t>
        </is>
      </c>
      <c r="O329" s="4" t="inlineStr">
        <is>
          <t>https://www.timeshighereducation.com/world-university-rankings/2027/world-ranking
https://www.shanghairanking.cn/rankings/bcur/2026</t>
        </is>
      </c>
      <c r="P329" s="4" t="n"/>
    </row>
    <row r="330">
      <c r="A330" s="3" t="inlineStr">
        <is>
          <t>China|Xidian University</t>
        </is>
      </c>
      <c r="B330" s="3" t="inlineStr">
        <is>
          <t>China</t>
        </is>
      </c>
      <c r="C330" s="3" t="inlineStr">
        <is>
          <t>Сиань</t>
        </is>
      </c>
      <c r="D330" s="3" t="inlineStr">
        <is>
          <t>Xidian University</t>
        </is>
      </c>
      <c r="E330" s="3" t="inlineStr">
        <is>
          <t>西安电子科技大学</t>
        </is>
      </c>
      <c r="F330" s="3" t="inlineStr">
        <is>
          <t>https://www.xidian.edu.cn</t>
        </is>
      </c>
      <c r="G330" s="3" t="inlineStr">
        <is>
          <t>QS2027: 851-900</t>
        </is>
      </c>
      <c r="H330" s="3" t="inlineStr">
        <is>
          <t>THE2027: 601–650</t>
        </is>
      </c>
      <c r="I330" s="3" t="inlineStr">
        <is>
          <t>BCUR2026: 39</t>
        </is>
      </c>
      <c r="J330" s="4" t="inlineStr">
        <is>
          <t>851–900</t>
        </is>
      </c>
      <c r="K330" s="4" t="inlineStr">
        <is>
          <t>601–650</t>
        </is>
      </c>
      <c r="L330" s="4" t="inlineStr">
        <is>
          <t>нет в опубл. списке (опубликован только топ-15 страны)</t>
        </is>
      </c>
      <c r="M330" s="4" t="inlineStr">
        <is>
          <t>BCUR (ShanghaiRanking) 2026</t>
        </is>
      </c>
      <c r="N330" s="4" t="inlineStr">
        <is>
          <t>39</t>
        </is>
      </c>
      <c r="O33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30" s="4" t="n"/>
    </row>
    <row r="331">
      <c r="A331" s="3" t="inlineStr">
        <is>
          <t>China|Xinjiang University</t>
        </is>
      </c>
      <c r="B331" s="3" t="inlineStr">
        <is>
          <t>China</t>
        </is>
      </c>
      <c r="C331" s="3" t="inlineStr">
        <is>
          <t>Урумчи</t>
        </is>
      </c>
      <c r="D331" s="3" t="inlineStr">
        <is>
          <t>Xinjiang University</t>
        </is>
      </c>
      <c r="E331" s="3" t="inlineStr">
        <is>
          <t>新疆大学</t>
        </is>
      </c>
      <c r="F331" s="3" t="inlineStr">
        <is>
          <t>https://www.xju.edu.cn</t>
        </is>
      </c>
      <c r="G331" s="3" t="inlineStr"/>
      <c r="H331" s="3" t="inlineStr"/>
      <c r="I331" s="3" t="inlineStr">
        <is>
          <t>BCUR2026: 131</t>
        </is>
      </c>
      <c r="J331" s="4" t="inlineStr">
        <is>
          <t>не в рейтинге</t>
        </is>
      </c>
      <c r="K331" s="4" t="inlineStr">
        <is>
          <t>не в рейтинге</t>
        </is>
      </c>
      <c r="L331" s="4" t="inlineStr">
        <is>
          <t>нет в опубл. списке (опубликован только топ-15 страны)</t>
        </is>
      </c>
      <c r="M331" s="4" t="inlineStr">
        <is>
          <t>BCUR (ShanghaiRanking) 2026</t>
        </is>
      </c>
      <c r="N331" s="4" t="inlineStr">
        <is>
          <t>131</t>
        </is>
      </c>
      <c r="O331" s="4" t="inlineStr">
        <is>
          <t>https://www.shanghairanking.cn/rankings/bcur/2026</t>
        </is>
      </c>
      <c r="P331" s="4" t="n"/>
    </row>
    <row r="332">
      <c r="A332" s="3" t="inlineStr">
        <is>
          <t>China|Yanbian University</t>
        </is>
      </c>
      <c r="B332" s="3" t="inlineStr">
        <is>
          <t>China</t>
        </is>
      </c>
      <c r="C332" s="3" t="inlineStr">
        <is>
          <t>Яньцзи</t>
        </is>
      </c>
      <c r="D332" s="3" t="inlineStr">
        <is>
          <t>Yanbian University</t>
        </is>
      </c>
      <c r="E332" s="3" t="inlineStr">
        <is>
          <t>延边大学</t>
        </is>
      </c>
      <c r="F332" s="3" t="inlineStr">
        <is>
          <t>https://www.ybu.edu.cn</t>
        </is>
      </c>
      <c r="G332" s="3" t="inlineStr"/>
      <c r="H332" s="3" t="inlineStr"/>
      <c r="I332" s="3" t="inlineStr">
        <is>
          <t>BCUR2026: 157</t>
        </is>
      </c>
      <c r="J332" s="4" t="inlineStr">
        <is>
          <t>не в рейтинге</t>
        </is>
      </c>
      <c r="K332" s="4" t="inlineStr">
        <is>
          <t>не в рейтинге</t>
        </is>
      </c>
      <c r="L332" s="4" t="inlineStr">
        <is>
          <t>нет в опубл. списке (опубликован только топ-15 страны)</t>
        </is>
      </c>
      <c r="M332" s="4" t="inlineStr">
        <is>
          <t>BCUR (ShanghaiRanking) 2026</t>
        </is>
      </c>
      <c r="N332" s="4" t="inlineStr">
        <is>
          <t>157</t>
        </is>
      </c>
      <c r="O332" s="4" t="inlineStr">
        <is>
          <t>https://www.shanghairanking.cn/rankings/bcur/2026</t>
        </is>
      </c>
      <c r="P332" s="4" t="n"/>
    </row>
    <row r="333">
      <c r="A333" s="3" t="inlineStr">
        <is>
          <t>China|Yangtze University</t>
        </is>
      </c>
      <c r="B333" s="3" t="inlineStr">
        <is>
          <t>China</t>
        </is>
      </c>
      <c r="C333" s="3" t="inlineStr">
        <is>
          <t>Цзинчжоу</t>
        </is>
      </c>
      <c r="D333" s="3" t="inlineStr">
        <is>
          <t>Yangtze University</t>
        </is>
      </c>
      <c r="E333" s="3" t="inlineStr">
        <is>
          <t>长江大学</t>
        </is>
      </c>
      <c r="F333" s="3" t="inlineStr">
        <is>
          <t>https://www.yangtzeu.edu.cn</t>
        </is>
      </c>
      <c r="G333" s="3" t="inlineStr"/>
      <c r="H333" s="3" t="inlineStr"/>
      <c r="I333" s="3" t="inlineStr">
        <is>
          <t>BCUR2026: 184</t>
        </is>
      </c>
      <c r="J333" s="4" t="inlineStr">
        <is>
          <t>не в рейтинге</t>
        </is>
      </c>
      <c r="K333" s="4" t="inlineStr">
        <is>
          <t>не в рейтинге</t>
        </is>
      </c>
      <c r="L333" s="4" t="inlineStr">
        <is>
          <t>нет в опубл. списке (опубликован только топ-15 страны)</t>
        </is>
      </c>
      <c r="M333" s="4" t="inlineStr">
        <is>
          <t>BCUR (ShanghaiRanking) 2026</t>
        </is>
      </c>
      <c r="N333" s="4" t="inlineStr">
        <is>
          <t>184</t>
        </is>
      </c>
      <c r="O333" s="4" t="inlineStr">
        <is>
          <t>https://www.shanghairanking.cn/rankings/bcur/2026</t>
        </is>
      </c>
      <c r="P333" s="4" t="n"/>
    </row>
    <row r="334">
      <c r="A334" s="3" t="inlineStr">
        <is>
          <t>China|Yanshan University</t>
        </is>
      </c>
      <c r="B334" s="3" t="inlineStr">
        <is>
          <t>China</t>
        </is>
      </c>
      <c r="C334" s="3" t="inlineStr">
        <is>
          <t>Циньхуандао</t>
        </is>
      </c>
      <c r="D334" s="3" t="inlineStr">
        <is>
          <t>Yanshan University</t>
        </is>
      </c>
      <c r="E334" s="3" t="inlineStr">
        <is>
          <t>燕山大学</t>
        </is>
      </c>
      <c r="F334" s="3" t="inlineStr">
        <is>
          <t>https://www.ysu.edu.cn</t>
        </is>
      </c>
      <c r="G334" s="3" t="inlineStr"/>
      <c r="H334" s="3" t="inlineStr">
        <is>
          <t>THE2027: 1401–1600</t>
        </is>
      </c>
      <c r="I334" s="3" t="inlineStr">
        <is>
          <t>BCUR2026: 109</t>
        </is>
      </c>
      <c r="J334" s="4" t="inlineStr">
        <is>
          <t>не в рейтинге</t>
        </is>
      </c>
      <c r="K334" s="4" t="inlineStr">
        <is>
          <t>1401–1600</t>
        </is>
      </c>
      <c r="L334" s="4" t="inlineStr">
        <is>
          <t>нет в опубл. списке (опубликован только топ-15 страны)</t>
        </is>
      </c>
      <c r="M334" s="4" t="inlineStr">
        <is>
          <t>BCUR (ShanghaiRanking) 2026</t>
        </is>
      </c>
      <c r="N334" s="4" t="inlineStr">
        <is>
          <t>109</t>
        </is>
      </c>
      <c r="O334" s="4" t="inlineStr">
        <is>
          <t>https://www.timeshighereducation.com/world-university-rankings/2027/world-ranking
https://www.shanghairanking.cn/rankings/bcur/2026</t>
        </is>
      </c>
      <c r="P334" s="4" t="n"/>
    </row>
    <row r="335">
      <c r="A335" s="3" t="inlineStr">
        <is>
          <t>China|Yunnan University</t>
        </is>
      </c>
      <c r="B335" s="3" t="inlineStr">
        <is>
          <t>China</t>
        </is>
      </c>
      <c r="C335" s="3" t="inlineStr">
        <is>
          <t>Куньмин</t>
        </is>
      </c>
      <c r="D335" s="3" t="inlineStr">
        <is>
          <t>Yunnan University</t>
        </is>
      </c>
      <c r="E335" s="3" t="inlineStr">
        <is>
          <t>云南大学</t>
        </is>
      </c>
      <c r="F335" s="3" t="inlineStr">
        <is>
          <t>https://www.ynu.edu.cn</t>
        </is>
      </c>
      <c r="G335" s="3" t="inlineStr"/>
      <c r="H335" s="3" t="inlineStr"/>
      <c r="I335" s="3" t="inlineStr">
        <is>
          <t>BCUR2026: 71</t>
        </is>
      </c>
      <c r="J335" s="4" t="inlineStr">
        <is>
          <t>не в рейтинге</t>
        </is>
      </c>
      <c r="K335" s="4" t="inlineStr">
        <is>
          <t>не в рейтинге</t>
        </is>
      </c>
      <c r="L335" s="4" t="inlineStr">
        <is>
          <t>нет в опубл. списке (опубликован только топ-15 страны)</t>
        </is>
      </c>
      <c r="M335" s="4" t="inlineStr">
        <is>
          <t>BCUR (ShanghaiRanking) 2026</t>
        </is>
      </c>
      <c r="N335" s="4" t="inlineStr">
        <is>
          <t>71</t>
        </is>
      </c>
      <c r="O335" s="4" t="inlineStr">
        <is>
          <t>https://www.shanghairanking.cn/rankings/bcur/2026</t>
        </is>
      </c>
      <c r="P335" s="4" t="n"/>
    </row>
    <row r="336">
      <c r="A336" s="3" t="inlineStr">
        <is>
          <t>China|Zhejiang A&amp;F University</t>
        </is>
      </c>
      <c r="B336" s="3" t="inlineStr">
        <is>
          <t>China</t>
        </is>
      </c>
      <c r="C336" s="3" t="inlineStr">
        <is>
          <t>Ханчжоу (район Линьань)</t>
        </is>
      </c>
      <c r="D336" s="3" t="inlineStr">
        <is>
          <t>Zhejiang A&amp;F University</t>
        </is>
      </c>
      <c r="E336" s="3" t="inlineStr">
        <is>
          <t>浙江农林大学</t>
        </is>
      </c>
      <c r="F336" s="3" t="inlineStr">
        <is>
          <t>https://www.zafu.edu.cn</t>
        </is>
      </c>
      <c r="G336" s="3" t="inlineStr"/>
      <c r="H336" s="3" t="inlineStr"/>
      <c r="I336" s="3" t="inlineStr">
        <is>
          <t>BCUR2026: 149</t>
        </is>
      </c>
      <c r="J336" s="4" t="inlineStr">
        <is>
          <t>не в рейтинге</t>
        </is>
      </c>
      <c r="K336" s="4" t="inlineStr">
        <is>
          <t>не в рейтинге</t>
        </is>
      </c>
      <c r="L336" s="4" t="inlineStr">
        <is>
          <t>нет в опубл. списке (опубликован только топ-15 страны)</t>
        </is>
      </c>
      <c r="M336" s="4" t="inlineStr">
        <is>
          <t>BCUR (ShanghaiRanking) 2026</t>
        </is>
      </c>
      <c r="N336" s="4" t="inlineStr">
        <is>
          <t>149</t>
        </is>
      </c>
      <c r="O336" s="4" t="inlineStr">
        <is>
          <t>https://www.shanghairanking.cn/rankings/bcur/2026</t>
        </is>
      </c>
      <c r="P336" s="4" t="n"/>
    </row>
    <row r="337">
      <c r="A337" s="3" t="inlineStr">
        <is>
          <t>China|Zhejiang Normal University</t>
        </is>
      </c>
      <c r="B337" s="3" t="inlineStr">
        <is>
          <t>China</t>
        </is>
      </c>
      <c r="C337" s="3" t="inlineStr">
        <is>
          <t>Цзиньхуа</t>
        </is>
      </c>
      <c r="D337" s="3" t="inlineStr">
        <is>
          <t>Zhejiang Normal University</t>
        </is>
      </c>
      <c r="E337" s="3" t="inlineStr">
        <is>
          <t>浙江师范大学</t>
        </is>
      </c>
      <c r="F337" s="3" t="inlineStr">
        <is>
          <t>https://www.zjnu.edu.cn</t>
        </is>
      </c>
      <c r="G337" s="3" t="inlineStr"/>
      <c r="H337" s="3" t="inlineStr">
        <is>
          <t>THE2027: 601–650</t>
        </is>
      </c>
      <c r="I337" s="3" t="inlineStr">
        <is>
          <t>BCUR2026: 91</t>
        </is>
      </c>
      <c r="J337" s="4" t="inlineStr">
        <is>
          <t>не в рейтинге</t>
        </is>
      </c>
      <c r="K337" s="4" t="inlineStr">
        <is>
          <t>601–650</t>
        </is>
      </c>
      <c r="L337" s="4" t="inlineStr">
        <is>
          <t>нет в опубл. списке (опубликован только топ-15 страны)</t>
        </is>
      </c>
      <c r="M337" s="4" t="inlineStr">
        <is>
          <t>BCUR (ShanghaiRanking) 2026</t>
        </is>
      </c>
      <c r="N337" s="4" t="inlineStr">
        <is>
          <t>91</t>
        </is>
      </c>
      <c r="O337" s="4" t="inlineStr">
        <is>
          <t>https://www.timeshighereducation.com/world-university-rankings/2027/world-ranking
https://www.shanghairanking.cn/rankings/bcur/2026</t>
        </is>
      </c>
      <c r="P337" s="4" t="n"/>
    </row>
    <row r="338">
      <c r="A338" s="3" t="inlineStr">
        <is>
          <t>China|Zhejiang Sci-Tech University</t>
        </is>
      </c>
      <c r="B338" s="3" t="inlineStr">
        <is>
          <t>China</t>
        </is>
      </c>
      <c r="C338" s="3" t="inlineStr">
        <is>
          <t>Ханчжоу</t>
        </is>
      </c>
      <c r="D338" s="3" t="inlineStr">
        <is>
          <t>Zhejiang Sci-Tech University</t>
        </is>
      </c>
      <c r="E338" s="3" t="inlineStr">
        <is>
          <t>浙江理工大学</t>
        </is>
      </c>
      <c r="F338" s="3" t="inlineStr">
        <is>
          <t>https://www.zstu.edu.cn</t>
        </is>
      </c>
      <c r="G338" s="3" t="inlineStr">
        <is>
          <t>QS2027: 1201-1400</t>
        </is>
      </c>
      <c r="H338" s="3" t="inlineStr"/>
      <c r="I338" s="3" t="inlineStr">
        <is>
          <t>BCUR2026: 112</t>
        </is>
      </c>
      <c r="J338" s="4" t="inlineStr">
        <is>
          <t>1201–1400</t>
        </is>
      </c>
      <c r="K338" s="4" t="inlineStr">
        <is>
          <t>не в рейтинге</t>
        </is>
      </c>
      <c r="L338" s="4" t="inlineStr">
        <is>
          <t>нет в опубл. списке (опубликован только топ-15 страны)</t>
        </is>
      </c>
      <c r="M338" s="4" t="inlineStr">
        <is>
          <t>BCUR (ShanghaiRanking) 2026</t>
        </is>
      </c>
      <c r="N338" s="4" t="inlineStr">
        <is>
          <t>112</t>
        </is>
      </c>
      <c r="O338" s="4" t="inlineStr">
        <is>
          <t>https://www.topuniversities.com/world-university-rankings (QS WUR 2027)
https://www.shanghairanking.cn/rankings/bcur/2026</t>
        </is>
      </c>
      <c r="P338" s="4" t="n"/>
    </row>
    <row r="339">
      <c r="A339" s="3" t="inlineStr">
        <is>
          <t>China|Zhejiang University</t>
        </is>
      </c>
      <c r="B339" s="3" t="inlineStr">
        <is>
          <t>China</t>
        </is>
      </c>
      <c r="C339" s="3" t="inlineStr">
        <is>
          <t>Ханчжоу</t>
        </is>
      </c>
      <c r="D339" s="3" t="inlineStr">
        <is>
          <t>Zhejiang University</t>
        </is>
      </c>
      <c r="E339" s="3" t="inlineStr">
        <is>
          <t>浙江大学</t>
        </is>
      </c>
      <c r="F339" s="3" t="inlineStr">
        <is>
          <t>https://www.zju.edu.cn</t>
        </is>
      </c>
      <c r="G339" s="3" t="inlineStr">
        <is>
          <t>QS2027: 47</t>
        </is>
      </c>
      <c r="H339" s="3" t="inlineStr">
        <is>
          <t>THE2027: 34</t>
        </is>
      </c>
      <c r="I339" s="3" t="inlineStr">
        <is>
          <t>BCUR2026: 3</t>
        </is>
      </c>
      <c r="J339" s="4" t="inlineStr">
        <is>
          <t>47</t>
        </is>
      </c>
      <c r="K339" s="4">
        <f>34</f>
        <v/>
      </c>
      <c r="L339" s="4" t="inlineStr">
        <is>
          <t>28</t>
        </is>
      </c>
      <c r="M339" s="4" t="inlineStr">
        <is>
          <t>BCUR (ShanghaiRanking) 2026</t>
        </is>
      </c>
      <c r="N339" s="4" t="inlineStr">
        <is>
          <t>3</t>
        </is>
      </c>
      <c r="O33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P339" s="4" t="n"/>
    </row>
    <row r="340">
      <c r="A340" s="3" t="inlineStr">
        <is>
          <t>China|Zhejiang University of Technology</t>
        </is>
      </c>
      <c r="B340" s="3" t="inlineStr">
        <is>
          <t>China</t>
        </is>
      </c>
      <c r="C340" s="3" t="inlineStr">
        <is>
          <t>Ханчжоу</t>
        </is>
      </c>
      <c r="D340" s="3" t="inlineStr">
        <is>
          <t>Zhejiang University of Technology</t>
        </is>
      </c>
      <c r="E340" s="3" t="inlineStr">
        <is>
          <t>浙江工业大学</t>
        </is>
      </c>
      <c r="F340" s="3" t="inlineStr">
        <is>
          <t>https://www.zjut.edu.cn</t>
        </is>
      </c>
      <c r="G340" s="3" t="inlineStr"/>
      <c r="H340" s="3" t="inlineStr">
        <is>
          <t>THE2027: 501–550</t>
        </is>
      </c>
      <c r="I340" s="3" t="inlineStr">
        <is>
          <t>BCUR2026: 68</t>
        </is>
      </c>
      <c r="J340" s="4">
        <f>560</f>
        <v/>
      </c>
      <c r="K340" s="4" t="inlineStr">
        <is>
          <t>501–550</t>
        </is>
      </c>
      <c r="L340" s="4" t="inlineStr">
        <is>
          <t>нет в опубл. списке (опубликован только топ-15 страны)</t>
        </is>
      </c>
      <c r="M340" s="4" t="inlineStr">
        <is>
          <t>BCUR (ShanghaiRanking) 2026</t>
        </is>
      </c>
      <c r="N340" s="4" t="inlineStr">
        <is>
          <t>68</t>
        </is>
      </c>
      <c r="O340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40" s="4" t="n"/>
    </row>
    <row r="341">
      <c r="A341" s="3" t="inlineStr">
        <is>
          <t>China|Zhengzhou University</t>
        </is>
      </c>
      <c r="B341" s="3" t="inlineStr">
        <is>
          <t>China</t>
        </is>
      </c>
      <c r="C341" s="3" t="inlineStr">
        <is>
          <t>Чжэнчжоу</t>
        </is>
      </c>
      <c r="D341" s="3" t="inlineStr">
        <is>
          <t>Zhengzhou University</t>
        </is>
      </c>
      <c r="E341" s="3" t="inlineStr">
        <is>
          <t>郑州大学</t>
        </is>
      </c>
      <c r="F341" s="3" t="inlineStr">
        <is>
          <t>https://www.zzu.edu.cn</t>
        </is>
      </c>
      <c r="G341" s="3" t="inlineStr">
        <is>
          <t>QS2027: 581</t>
        </is>
      </c>
      <c r="H341" s="3" t="inlineStr">
        <is>
          <t>THE2027: 651–700</t>
        </is>
      </c>
      <c r="I341" s="3" t="inlineStr">
        <is>
          <t>BCUR2026: 44</t>
        </is>
      </c>
      <c r="J341" s="4">
        <f>581</f>
        <v/>
      </c>
      <c r="K341" s="4" t="inlineStr">
        <is>
          <t>651–700</t>
        </is>
      </c>
      <c r="L341" s="4" t="inlineStr">
        <is>
          <t>нет в опубл. списке (опубликован только топ-15 страны)</t>
        </is>
      </c>
      <c r="M341" s="4" t="inlineStr">
        <is>
          <t>BCUR (ShanghaiRanking) 2026</t>
        </is>
      </c>
      <c r="N341" s="4" t="inlineStr">
        <is>
          <t>44</t>
        </is>
      </c>
      <c r="O341" s="4" t="inlineStr">
        <is>
          <t>https://www.topuniversities.com/world-university-rankings (QS WUR 2027)
https://www.timeshighereducation.com/world-university-rankings/2027/world-ranking
https://www.shanghairanking.cn/rankings/bcur/2026</t>
        </is>
      </c>
      <c r="P341" s="4" t="n"/>
    </row>
    <row r="342">
      <c r="A342" s="3" t="inlineStr">
        <is>
          <t>Cuba|Central University "Marta Abreu" of Las Villas (UCLV)</t>
        </is>
      </c>
      <c r="B342" s="3" t="inlineStr">
        <is>
          <t>Cuba</t>
        </is>
      </c>
      <c r="C342" s="3" t="inlineStr">
        <is>
          <t>Санта-Клара</t>
        </is>
      </c>
      <c r="D342" s="3" t="inlineStr">
        <is>
          <t>Central University "Marta Abreu" of Las Villas (UCLV)</t>
        </is>
      </c>
      <c r="E342" s="3" t="inlineStr">
        <is>
          <t>Universidad Central "Marta Abreu" de Las Villas</t>
        </is>
      </c>
      <c r="F342" s="3" t="inlineStr">
        <is>
          <t>https://www.uclv.edu.cu</t>
        </is>
      </c>
      <c r="G342" s="3" t="inlineStr"/>
      <c r="H342" s="3" t="inlineStr"/>
      <c r="I342" s="3" t="inlineStr"/>
      <c r="J342" s="4" t="inlineStr">
        <is>
          <t>1201–1400</t>
        </is>
      </c>
      <c r="K342" s="4" t="inlineStr">
        <is>
          <t>не в рейтинге</t>
        </is>
      </c>
      <c r="L342" s="4" t="inlineStr">
        <is>
          <t>4531</t>
        </is>
      </c>
      <c r="M342" s="4" t="inlineStr">
        <is>
          <t>нет общенационального рейтинга</t>
        </is>
      </c>
      <c r="N342" s="4" t="inlineStr">
        <is>
          <t>—</t>
        </is>
      </c>
      <c r="O342" s="4" t="inlineStr">
        <is>
          <t>https://www.topuniversities.com/world-university-rankings (QS WUR 2027)
https://figshare.com/articles/preprint/Ranking_Web_of_Universities_webometrics_info_July_2026_edition/33062150</t>
        </is>
      </c>
      <c r="P342" s="4" t="inlineStr">
        <is>
          <t>Национального рейтинга нет: MES/JAN присваивают только категории аккредитации (Calificada/Certificada/Excelencia), без мест.</t>
        </is>
      </c>
    </row>
    <row r="343">
      <c r="A343" s="3" t="inlineStr">
        <is>
          <t>Cuba|University of Havana</t>
        </is>
      </c>
      <c r="B343" s="3" t="inlineStr">
        <is>
          <t>Cuba</t>
        </is>
      </c>
      <c r="C343" s="3" t="inlineStr">
        <is>
          <t>Гавана</t>
        </is>
      </c>
      <c r="D343" s="3" t="inlineStr">
        <is>
          <t>University of Havana</t>
        </is>
      </c>
      <c r="E343" s="3" t="inlineStr">
        <is>
          <t>Universidad de La Habana</t>
        </is>
      </c>
      <c r="F343" s="3" t="inlineStr">
        <is>
          <t>https://www.uh.cu</t>
        </is>
      </c>
      <c r="G343" s="3" t="inlineStr"/>
      <c r="H343" s="3" t="inlineStr">
        <is>
          <t>THE2027: 1601–1800</t>
        </is>
      </c>
      <c r="I343" s="3" t="inlineStr"/>
      <c r="J343" s="4" t="inlineStr">
        <is>
          <t>851–900</t>
        </is>
      </c>
      <c r="K343" s="4" t="inlineStr">
        <is>
          <t>1601–1800</t>
        </is>
      </c>
      <c r="L343" s="4" t="inlineStr">
        <is>
          <t>2942</t>
        </is>
      </c>
      <c r="M343" s="4" t="inlineStr">
        <is>
          <t>нет общенационального рейтинга</t>
        </is>
      </c>
      <c r="N343" s="4" t="inlineStr">
        <is>
          <t>—</t>
        </is>
      </c>
      <c r="O34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43" s="4" t="inlineStr">
        <is>
          <t>Национального рейтинга нет: MES/JAN присваивают только категории аккредитации (Calificada/Certificada/Excelencia), без мест.</t>
        </is>
      </c>
    </row>
    <row r="344">
      <c r="A344" s="3" t="inlineStr">
        <is>
          <t>Cuba|University of Informatics Sciences (UCI)</t>
        </is>
      </c>
      <c r="B344" s="3" t="inlineStr">
        <is>
          <t>Cuba</t>
        </is>
      </c>
      <c r="C344" s="3" t="inlineStr">
        <is>
          <t>Гавана</t>
        </is>
      </c>
      <c r="D344" s="3" t="inlineStr">
        <is>
          <t>University of Informatics Sciences (UCI)</t>
        </is>
      </c>
      <c r="E344" s="3" t="inlineStr">
        <is>
          <t>Universidad de las Ciencias Informáticas</t>
        </is>
      </c>
      <c r="F344" s="3" t="inlineStr">
        <is>
          <t>https://www.uci.cu</t>
        </is>
      </c>
      <c r="G344" s="3" t="inlineStr"/>
      <c r="H344" s="3" t="inlineStr"/>
      <c r="I344" s="3" t="inlineStr"/>
      <c r="J344" s="4" t="inlineStr">
        <is>
          <t>не в рейтинге</t>
        </is>
      </c>
      <c r="K344" s="4" t="inlineStr">
        <is>
          <t>не в рейтинге</t>
        </is>
      </c>
      <c r="L344" s="4" t="inlineStr">
        <is>
          <t>6854</t>
        </is>
      </c>
      <c r="M344" s="4" t="inlineStr">
        <is>
          <t>нет общенационального рейтинга</t>
        </is>
      </c>
      <c r="N344" s="4" t="inlineStr">
        <is>
          <t>—</t>
        </is>
      </c>
      <c r="O344" s="4" t="inlineStr">
        <is>
          <t>https://figshare.com/articles/preprint/Ranking_Web_of_Universities_webometrics_info_July_2026_edition/33062150</t>
        </is>
      </c>
      <c r="P344" s="4" t="inlineStr">
        <is>
          <t>Национального рейтинга нет: MES/JAN присваивают только категории аккредитации (Calificada/Certificada/Excelencia), без мест.</t>
        </is>
      </c>
    </row>
    <row r="345">
      <c r="A345" s="3" t="inlineStr">
        <is>
          <t>Egypt|Ahram Canadian University</t>
        </is>
      </c>
      <c r="B345" s="3" t="inlineStr">
        <is>
          <t>Egypt</t>
        </is>
      </c>
      <c r="C345" s="3" t="inlineStr">
        <is>
          <t>Город 6 Октября</t>
        </is>
      </c>
      <c r="D345" s="3" t="inlineStr">
        <is>
          <t>Ahram Canadian University</t>
        </is>
      </c>
      <c r="E345" s="3" t="inlineStr">
        <is>
          <t>جامعة الأهرام الكندية</t>
        </is>
      </c>
      <c r="F345" s="3" t="inlineStr">
        <is>
          <t>https://acu.edu.eg</t>
        </is>
      </c>
      <c r="G345" s="3" t="inlineStr"/>
      <c r="H345" s="3" t="inlineStr"/>
      <c r="I345" s="3" t="inlineStr"/>
      <c r="J345" s="4" t="inlineStr">
        <is>
          <t>не в рейтинге</t>
        </is>
      </c>
      <c r="K345" s="4" t="inlineStr">
        <is>
          <t>Reporter</t>
        </is>
      </c>
      <c r="L345" s="4" t="inlineStr">
        <is>
          <t>нет в опубл. списке (опубликован только топ-15 страны)</t>
        </is>
      </c>
      <c r="M345" s="4" t="inlineStr">
        <is>
          <t>нет общенационального рейтинга</t>
        </is>
      </c>
      <c r="N345" s="4" t="inlineStr">
        <is>
          <t>—</t>
        </is>
      </c>
      <c r="O345" s="4" t="inlineStr">
        <is>
          <t>https://www.timeshighereducation.com/world-university-rankings/2027/world-ranking</t>
        </is>
      </c>
      <c r="P345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46">
      <c r="A346" s="3" t="inlineStr">
        <is>
          <t>Egypt|Ain Shams University</t>
        </is>
      </c>
      <c r="B346" s="3" t="inlineStr">
        <is>
          <t>Egypt</t>
        </is>
      </c>
      <c r="C346" s="3" t="inlineStr">
        <is>
          <t>Каир</t>
        </is>
      </c>
      <c r="D346" s="3" t="inlineStr">
        <is>
          <t>Ain Shams University</t>
        </is>
      </c>
      <c r="E346" s="3" t="inlineStr">
        <is>
          <t>جامعة عين شمس</t>
        </is>
      </c>
      <c r="F346" s="3" t="inlineStr">
        <is>
          <t>https://www.asu.edu.eg</t>
        </is>
      </c>
      <c r="G346" s="3" t="inlineStr">
        <is>
          <t>QS2027: 551</t>
        </is>
      </c>
      <c r="H346" s="3" t="inlineStr">
        <is>
          <t>THE2027: 1001–1200</t>
        </is>
      </c>
      <c r="I346" s="3" t="inlineStr"/>
      <c r="J346" s="4">
        <f>551</f>
        <v/>
      </c>
      <c r="K346" s="4" t="inlineStr">
        <is>
          <t>1001–1200</t>
        </is>
      </c>
      <c r="L346" s="4" t="inlineStr">
        <is>
          <t>нет в опубл. списке (опубликован только топ-15 страны)</t>
        </is>
      </c>
      <c r="M346" s="4" t="inlineStr">
        <is>
          <t>нет общенационального рейтинга</t>
        </is>
      </c>
      <c r="N346" s="4" t="inlineStr">
        <is>
          <t>—</t>
        </is>
      </c>
      <c r="O346" s="4" t="inlineStr">
        <is>
          <t>https://www.topuniversities.com/world-university-rankings (QS WUR 2027)
https://www.timeshighereducation.com/world-university-rankings/2027/world-ranking</t>
        </is>
      </c>
      <c r="P346" s="4" t="inlineStr">
        <is>
          <t>QS: в таблице как «Ain Shams University in Cairo (ASU, Cairo)»;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47">
      <c r="A347" s="3" t="inlineStr">
        <is>
          <t>Egypt|Al-Azhar University</t>
        </is>
      </c>
      <c r="B347" s="3" t="inlineStr">
        <is>
          <t>Egypt</t>
        </is>
      </c>
      <c r="C347" s="3" t="inlineStr">
        <is>
          <t>Каир</t>
        </is>
      </c>
      <c r="D347" s="3" t="inlineStr">
        <is>
          <t>Al-Azhar University</t>
        </is>
      </c>
      <c r="E347" s="3" t="inlineStr">
        <is>
          <t>جامعة الأزهر</t>
        </is>
      </c>
      <c r="F347" s="3" t="inlineStr">
        <is>
          <t>https://azhar.edu.eg</t>
        </is>
      </c>
      <c r="G347" s="3" t="inlineStr">
        <is>
          <t>QS2027: 1001–1200</t>
        </is>
      </c>
      <c r="H347" s="3" t="inlineStr">
        <is>
          <t>THE2027: 801–1000</t>
        </is>
      </c>
      <c r="I347" s="3" t="inlineStr"/>
      <c r="J347" s="4" t="inlineStr">
        <is>
          <t>1001–1200</t>
        </is>
      </c>
      <c r="K347" s="4" t="inlineStr">
        <is>
          <t>801–1000</t>
        </is>
      </c>
      <c r="L347" s="4" t="inlineStr">
        <is>
          <t>1180</t>
        </is>
      </c>
      <c r="M347" s="4" t="inlineStr">
        <is>
          <t>нет общенационального рейтинга</t>
        </is>
      </c>
      <c r="N347" s="4" t="inlineStr">
        <is>
          <t>—</t>
        </is>
      </c>
      <c r="O34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47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48">
      <c r="A348" s="3" t="inlineStr">
        <is>
          <t>Egypt|Alexandria National University</t>
        </is>
      </c>
      <c r="B348" s="3" t="inlineStr">
        <is>
          <t>Egypt</t>
        </is>
      </c>
      <c r="C348" s="3" t="inlineStr">
        <is>
          <t>Александрия</t>
        </is>
      </c>
      <c r="D348" s="3" t="inlineStr">
        <is>
          <t>Alexandria National University</t>
        </is>
      </c>
      <c r="E348" s="3" t="inlineStr">
        <is>
          <t>جامعة الإسكندرية الأهلية</t>
        </is>
      </c>
      <c r="F348" s="3" t="inlineStr">
        <is>
          <t>https://anu.edu.eg</t>
        </is>
      </c>
      <c r="G348" s="3" t="inlineStr"/>
      <c r="H348" s="3" t="inlineStr"/>
      <c r="I348" s="3" t="inlineStr"/>
      <c r="J348" s="4" t="inlineStr">
        <is>
          <t>не в рейтинге</t>
        </is>
      </c>
      <c r="K348" s="4" t="inlineStr">
        <is>
          <t>не в рейтинге</t>
        </is>
      </c>
      <c r="L348" s="4" t="inlineStr">
        <is>
          <t>нет в опубл. списке (опубликован только топ-15 страны)</t>
        </is>
      </c>
      <c r="M348" s="4" t="inlineStr">
        <is>
          <t>нет общенационального рейтинга</t>
        </is>
      </c>
      <c r="N348" s="4" t="inlineStr">
        <is>
          <t>—</t>
        </is>
      </c>
      <c r="O348" s="4" t="n"/>
      <c r="P348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49">
      <c r="A349" s="3" t="inlineStr">
        <is>
          <t>Egypt|Alexandria University</t>
        </is>
      </c>
      <c r="B349" s="3" t="inlineStr">
        <is>
          <t>Egypt</t>
        </is>
      </c>
      <c r="C349" s="3" t="inlineStr">
        <is>
          <t>Александрия</t>
        </is>
      </c>
      <c r="D349" s="3" t="inlineStr">
        <is>
          <t>Alexandria University</t>
        </is>
      </c>
      <c r="E349" s="3" t="inlineStr">
        <is>
          <t>جامعة الإسكندرية</t>
        </is>
      </c>
      <c r="F349" s="3" t="inlineStr">
        <is>
          <t>https://alexu.edu.eg</t>
        </is>
      </c>
      <c r="G349" s="3" t="inlineStr">
        <is>
          <t>QS2027: 801–850</t>
        </is>
      </c>
      <c r="H349" s="3" t="inlineStr">
        <is>
          <t>THE2027: 801–1000</t>
        </is>
      </c>
      <c r="I349" s="3" t="inlineStr"/>
      <c r="J349" s="4" t="inlineStr">
        <is>
          <t>801–850</t>
        </is>
      </c>
      <c r="K349" s="4" t="inlineStr">
        <is>
          <t>801–1000</t>
        </is>
      </c>
      <c r="L349" s="4" t="inlineStr">
        <is>
          <t>702</t>
        </is>
      </c>
      <c r="M349" s="4" t="inlineStr">
        <is>
          <t>нет общенационального рейтинга</t>
        </is>
      </c>
      <c r="N349" s="4" t="inlineStr">
        <is>
          <t>—</t>
        </is>
      </c>
      <c r="O34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49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0">
      <c r="A350" s="3" t="inlineStr">
        <is>
          <t>Egypt|Arab Academy for Science, Technology and Maritime Transport (AASTMT)</t>
        </is>
      </c>
      <c r="B350" s="3" t="inlineStr">
        <is>
          <t>Egypt</t>
        </is>
      </c>
      <c r="C350" s="3" t="inlineStr">
        <is>
          <t>Александрия</t>
        </is>
      </c>
      <c r="D350" s="3" t="inlineStr">
        <is>
          <t>Arab Academy for Science, Technology and Maritime Transport (AASTMT)</t>
        </is>
      </c>
      <c r="E350" s="3" t="inlineStr">
        <is>
          <t>الأكاديمية العربية للعلوم والتكنولوجيا والنقل البحري</t>
        </is>
      </c>
      <c r="F350" s="3" t="inlineStr">
        <is>
          <t>https://aast.edu</t>
        </is>
      </c>
      <c r="G350" s="3" t="inlineStr">
        <is>
          <t>QS2027: 1001–1200</t>
        </is>
      </c>
      <c r="H350" s="3" t="inlineStr">
        <is>
          <t>THE2027: 801–1000</t>
        </is>
      </c>
      <c r="I350" s="3" t="inlineStr"/>
      <c r="J350" s="4" t="inlineStr">
        <is>
          <t>1001–1200</t>
        </is>
      </c>
      <c r="K350" s="4" t="inlineStr">
        <is>
          <t>801–1000</t>
        </is>
      </c>
      <c r="L350" s="4" t="inlineStr">
        <is>
          <t>нет в опубл. списке (опубликован только топ-15 страны)</t>
        </is>
      </c>
      <c r="M350" s="4" t="inlineStr">
        <is>
          <t>нет общенационального рейтинга</t>
        </is>
      </c>
      <c r="N350" s="4" t="inlineStr">
        <is>
          <t>—</t>
        </is>
      </c>
      <c r="O350" s="4" t="inlineStr">
        <is>
          <t>https://www.topuniversities.com/world-university-rankings (QS WUR 2027)
https://www.timeshighereducation.com/world-university-rankings/2027/world-ranking</t>
        </is>
      </c>
      <c r="P350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1">
      <c r="A351" s="3" t="inlineStr">
        <is>
          <t>Egypt|Arish University</t>
        </is>
      </c>
      <c r="B351" s="3" t="inlineStr">
        <is>
          <t>Egypt</t>
        </is>
      </c>
      <c r="C351" s="3" t="inlineStr">
        <is>
          <t>Эль-Ариш</t>
        </is>
      </c>
      <c r="D351" s="3" t="inlineStr">
        <is>
          <t>Arish University</t>
        </is>
      </c>
      <c r="E351" s="3" t="inlineStr">
        <is>
          <t>جامعة العريش</t>
        </is>
      </c>
      <c r="F351" s="3" t="inlineStr">
        <is>
          <t>https://aru.edu.eg</t>
        </is>
      </c>
      <c r="G351" s="3" t="inlineStr"/>
      <c r="H351" s="3" t="inlineStr"/>
      <c r="I351" s="3" t="inlineStr"/>
      <c r="J351" s="4" t="inlineStr">
        <is>
          <t>не в рейтинге</t>
        </is>
      </c>
      <c r="K351" s="4" t="inlineStr">
        <is>
          <t>Reporter</t>
        </is>
      </c>
      <c r="L351" s="4" t="inlineStr">
        <is>
          <t>нет в опубл. списке (опубликован только топ-15 страны)</t>
        </is>
      </c>
      <c r="M351" s="4" t="inlineStr">
        <is>
          <t>нет общенационального рейтинга</t>
        </is>
      </c>
      <c r="N351" s="4" t="inlineStr">
        <is>
          <t>—</t>
        </is>
      </c>
      <c r="O351" s="4" t="inlineStr">
        <is>
          <t>https://www.timeshighereducation.com/world-university-rankings/2027/world-ranking</t>
        </is>
      </c>
      <c r="P351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2">
      <c r="A352" s="3" t="inlineStr">
        <is>
          <t>Egypt|Assiut University</t>
        </is>
      </c>
      <c r="B352" s="3" t="inlineStr">
        <is>
          <t>Egypt</t>
        </is>
      </c>
      <c r="C352" s="3" t="inlineStr">
        <is>
          <t>Асьют</t>
        </is>
      </c>
      <c r="D352" s="3" t="inlineStr">
        <is>
          <t>Assiut University</t>
        </is>
      </c>
      <c r="E352" s="3" t="inlineStr">
        <is>
          <t>جامعة أسيوط</t>
        </is>
      </c>
      <c r="F352" s="3" t="inlineStr">
        <is>
          <t>https://www.aun.edu.eg</t>
        </is>
      </c>
      <c r="G352" s="3" t="inlineStr">
        <is>
          <t>QS2027: 1001–1200</t>
        </is>
      </c>
      <c r="H352" s="3" t="inlineStr">
        <is>
          <t>THE2027: 1201–1400</t>
        </is>
      </c>
      <c r="I352" s="3" t="inlineStr"/>
      <c r="J352" s="4" t="inlineStr">
        <is>
          <t>1001–1200</t>
        </is>
      </c>
      <c r="K352" s="4" t="inlineStr">
        <is>
          <t>1201–1400</t>
        </is>
      </c>
      <c r="L352" s="4" t="inlineStr">
        <is>
          <t>1149</t>
        </is>
      </c>
      <c r="M352" s="4" t="inlineStr">
        <is>
          <t>нет общенационального рейтинга</t>
        </is>
      </c>
      <c r="N352" s="4" t="inlineStr">
        <is>
          <t>—</t>
        </is>
      </c>
      <c r="O35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52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3">
      <c r="A353" s="3" t="inlineStr">
        <is>
          <t>Egypt|Aswan University</t>
        </is>
      </c>
      <c r="B353" s="3" t="inlineStr">
        <is>
          <t>Egypt</t>
        </is>
      </c>
      <c r="C353" s="3" t="inlineStr">
        <is>
          <t>Асуан</t>
        </is>
      </c>
      <c r="D353" s="3" t="inlineStr">
        <is>
          <t>Aswan University</t>
        </is>
      </c>
      <c r="E353" s="3" t="inlineStr">
        <is>
          <t>جامعة أسوان</t>
        </is>
      </c>
      <c r="F353" s="3" t="inlineStr">
        <is>
          <t>https://aswu.edu.eg</t>
        </is>
      </c>
      <c r="G353" s="3" t="inlineStr"/>
      <c r="H353" s="3" t="inlineStr">
        <is>
          <t>THE2027: 1001–1200</t>
        </is>
      </c>
      <c r="I353" s="3" t="inlineStr"/>
      <c r="J353" s="4" t="inlineStr">
        <is>
          <t>не в рейтинге</t>
        </is>
      </c>
      <c r="K353" s="4" t="inlineStr">
        <is>
          <t>1001–1200</t>
        </is>
      </c>
      <c r="L353" s="4" t="inlineStr">
        <is>
          <t>нет в опубл. списке (опубликован только топ-15 страны)</t>
        </is>
      </c>
      <c r="M353" s="4" t="inlineStr">
        <is>
          <t>нет общенационального рейтинга</t>
        </is>
      </c>
      <c r="N353" s="4" t="inlineStr">
        <is>
          <t>—</t>
        </is>
      </c>
      <c r="O353" s="4" t="inlineStr">
        <is>
          <t>https://www.timeshighereducation.com/world-university-rankings/2027/world-ranking</t>
        </is>
      </c>
      <c r="P353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4">
      <c r="A354" s="3" t="inlineStr">
        <is>
          <t>Egypt|Badr University in Cairo (BUC)</t>
        </is>
      </c>
      <c r="B354" s="3" t="inlineStr">
        <is>
          <t>Egypt</t>
        </is>
      </c>
      <c r="C354" s="3" t="inlineStr">
        <is>
          <t>Каир</t>
        </is>
      </c>
      <c r="D354" s="3" t="inlineStr">
        <is>
          <t>Badr University in Cairo (BUC)</t>
        </is>
      </c>
      <c r="E354" s="3" t="inlineStr">
        <is>
          <t>جامعة بدر بالقاهرة</t>
        </is>
      </c>
      <c r="F354" s="3" t="inlineStr">
        <is>
          <t>https://buc.edu.eg</t>
        </is>
      </c>
      <c r="G354" s="3" t="inlineStr"/>
      <c r="H354" s="3" t="inlineStr">
        <is>
          <t>THE2027: 1401–1600</t>
        </is>
      </c>
      <c r="I354" s="3" t="inlineStr"/>
      <c r="J354" s="4" t="inlineStr">
        <is>
          <t>не в рейтинге</t>
        </is>
      </c>
      <c r="K354" s="4" t="inlineStr">
        <is>
          <t>1401–1600</t>
        </is>
      </c>
      <c r="L354" s="4" t="inlineStr">
        <is>
          <t>нет в опубл. списке (опубликован только топ-15 страны)</t>
        </is>
      </c>
      <c r="M354" s="4" t="inlineStr">
        <is>
          <t>нет общенационального рейтинга</t>
        </is>
      </c>
      <c r="N354" s="4" t="inlineStr">
        <is>
          <t>—</t>
        </is>
      </c>
      <c r="O354" s="4" t="inlineStr">
        <is>
          <t>https://www.timeshighereducation.com/world-university-rankings/2027/world-ranking</t>
        </is>
      </c>
      <c r="P354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5">
      <c r="A355" s="3" t="inlineStr">
        <is>
          <t>Egypt|Benha National University (BNU)</t>
        </is>
      </c>
      <c r="B355" s="3" t="inlineStr">
        <is>
          <t>Egypt</t>
        </is>
      </c>
      <c r="C355" s="3" t="inlineStr">
        <is>
          <t>Эль-Обур</t>
        </is>
      </c>
      <c r="D355" s="3" t="inlineStr">
        <is>
          <t>Benha National University (BNU)</t>
        </is>
      </c>
      <c r="E355" s="3" t="inlineStr">
        <is>
          <t>جامعة بنها الأهلية</t>
        </is>
      </c>
      <c r="F355" s="3" t="inlineStr">
        <is>
          <t>https://bnu.edu.eg</t>
        </is>
      </c>
      <c r="G355" s="3" t="inlineStr"/>
      <c r="H355" s="3" t="inlineStr">
        <is>
          <t>THE2027 Reporter (unranked)</t>
        </is>
      </c>
      <c r="I355" s="3" t="inlineStr"/>
      <c r="J355" s="4" t="inlineStr">
        <is>
          <t>не в рейтинге</t>
        </is>
      </c>
      <c r="K355" s="4" t="inlineStr">
        <is>
          <t>Reporter</t>
        </is>
      </c>
      <c r="L355" s="4" t="inlineStr">
        <is>
          <t>нет в опубл. списке (опубликован только топ-15 страны)</t>
        </is>
      </c>
      <c r="M355" s="4" t="inlineStr">
        <is>
          <t>нет общенационального рейтинга</t>
        </is>
      </c>
      <c r="N355" s="4" t="inlineStr">
        <is>
          <t>—</t>
        </is>
      </c>
      <c r="O355" s="4" t="inlineStr">
        <is>
          <t>https://www.timeshighereducation.com/world-university-rankings/2027/world-ranking</t>
        </is>
      </c>
      <c r="P355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6">
      <c r="A356" s="3" t="inlineStr">
        <is>
          <t>Egypt|Benha University</t>
        </is>
      </c>
      <c r="B356" s="3" t="inlineStr">
        <is>
          <t>Egypt</t>
        </is>
      </c>
      <c r="C356" s="3" t="inlineStr">
        <is>
          <t>Бенха</t>
        </is>
      </c>
      <c r="D356" s="3" t="inlineStr">
        <is>
          <t>Benha University</t>
        </is>
      </c>
      <c r="E356" s="3" t="inlineStr">
        <is>
          <t>جامعة بنها</t>
        </is>
      </c>
      <c r="F356" s="3" t="inlineStr">
        <is>
          <t>https://bu.edu.eg</t>
        </is>
      </c>
      <c r="G356" s="3" t="inlineStr"/>
      <c r="H356" s="3" t="inlineStr">
        <is>
          <t>THE2027: 1201–1400</t>
        </is>
      </c>
      <c r="I356" s="3" t="inlineStr"/>
      <c r="J356" s="4" t="inlineStr">
        <is>
          <t>1401+</t>
        </is>
      </c>
      <c r="K356" s="4" t="inlineStr">
        <is>
          <t>1201–1400</t>
        </is>
      </c>
      <c r="L356" s="4" t="inlineStr">
        <is>
          <t>нет в опубл. списке (опубликован только топ-15 страны)</t>
        </is>
      </c>
      <c r="M356" s="4" t="inlineStr">
        <is>
          <t>нет общенационального рейтинга</t>
        </is>
      </c>
      <c r="N356" s="4" t="inlineStr">
        <is>
          <t>—</t>
        </is>
      </c>
      <c r="O356" s="4" t="inlineStr">
        <is>
          <t>https://www.topuniversities.com/world-university-rankings (QS WUR 2027)
https://www.timeshighereducation.com/world-university-rankings/2027/world-ranking</t>
        </is>
      </c>
      <c r="P356" s="4" t="inlineStr">
        <is>
          <t>QS: в таблице как «Benha University - Egypt»;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7">
      <c r="A357" s="3" t="inlineStr">
        <is>
          <t>Egypt|Beni-Suef University (BSU)</t>
        </is>
      </c>
      <c r="B357" s="3" t="inlineStr">
        <is>
          <t>Egypt</t>
        </is>
      </c>
      <c r="C357" s="3" t="inlineStr">
        <is>
          <t>Бени-Суэф</t>
        </is>
      </c>
      <c r="D357" s="3" t="inlineStr">
        <is>
          <t>Beni-Suef University (BSU)</t>
        </is>
      </c>
      <c r="E357" s="3" t="inlineStr">
        <is>
          <t>جامعة بني سويف</t>
        </is>
      </c>
      <c r="F357" s="3" t="inlineStr">
        <is>
          <t>https://www.bsu.edu.eg</t>
        </is>
      </c>
      <c r="G357" s="3" t="inlineStr">
        <is>
          <t>QS2027: 1201–1400</t>
        </is>
      </c>
      <c r="H357" s="3" t="inlineStr">
        <is>
          <t>THE2027: 1201–1400</t>
        </is>
      </c>
      <c r="I357" s="3" t="inlineStr"/>
      <c r="J357" s="4" t="inlineStr">
        <is>
          <t>1201–1400</t>
        </is>
      </c>
      <c r="K357" s="4" t="inlineStr">
        <is>
          <t>1201–1400</t>
        </is>
      </c>
      <c r="L357" s="4" t="inlineStr">
        <is>
          <t>нет в опубл. списке (опубликован только топ-15 страны)</t>
        </is>
      </c>
      <c r="M357" s="4" t="inlineStr">
        <is>
          <t>нет общенационального рейтинга</t>
        </is>
      </c>
      <c r="N357" s="4" t="inlineStr">
        <is>
          <t>—</t>
        </is>
      </c>
      <c r="O357" s="4" t="inlineStr">
        <is>
          <t>https://www.topuniversities.com/world-university-rankings (QS WUR 2027)
https://www.timeshighereducation.com/world-university-rankings/2027/world-ranking</t>
        </is>
      </c>
      <c r="P357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8">
      <c r="A358" s="3" t="inlineStr">
        <is>
          <t>Egypt|Borg El Arab Technological University</t>
        </is>
      </c>
      <c r="B358" s="3" t="inlineStr">
        <is>
          <t>Egypt</t>
        </is>
      </c>
      <c r="C358" s="3" t="inlineStr">
        <is>
          <t>Новый Борг-эль-Араб (Александрия)</t>
        </is>
      </c>
      <c r="D358" s="3" t="inlineStr">
        <is>
          <t>Borg El Arab Technological University</t>
        </is>
      </c>
      <c r="E358" s="3" t="inlineStr">
        <is>
          <t>جامعة برج العرب التكنولوجية</t>
        </is>
      </c>
      <c r="F358" s="3" t="inlineStr">
        <is>
          <t>https://batechu.com</t>
        </is>
      </c>
      <c r="G358" s="3" t="inlineStr"/>
      <c r="H358" s="3" t="inlineStr"/>
      <c r="I358" s="3" t="inlineStr"/>
      <c r="J358" s="4" t="inlineStr">
        <is>
          <t>не в рейтинге</t>
        </is>
      </c>
      <c r="K358" s="4" t="inlineStr">
        <is>
          <t>не в рейтинге</t>
        </is>
      </c>
      <c r="L358" s="4" t="inlineStr">
        <is>
          <t>нет в опубл. списке (опубликован только топ-15 страны)</t>
        </is>
      </c>
      <c r="M358" s="4" t="inlineStr">
        <is>
          <t>нет общенационального рейтинга</t>
        </is>
      </c>
      <c r="N358" s="4" t="inlineStr">
        <is>
          <t>—</t>
        </is>
      </c>
      <c r="O358" s="4" t="n"/>
      <c r="P358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59">
      <c r="A359" s="3" t="inlineStr">
        <is>
          <t>Egypt|Canadian International College (CIC) – Cairo Campus of Cape Breton University</t>
        </is>
      </c>
      <c r="B359" s="3" t="inlineStr">
        <is>
          <t>Egypt</t>
        </is>
      </c>
      <c r="C359" s="3" t="inlineStr">
        <is>
          <t>Каир</t>
        </is>
      </c>
      <c r="D359" s="3" t="inlineStr">
        <is>
          <t>Canadian International College (CIC) – Cairo Campus of Cape Breton University</t>
        </is>
      </c>
      <c r="E359" s="3" t="inlineStr"/>
      <c r="F359" s="3" t="inlineStr">
        <is>
          <t>https://www.cic-cairo.edu.eg</t>
        </is>
      </c>
      <c r="G359" s="3" t="inlineStr"/>
      <c r="H359" s="3" t="inlineStr">
        <is>
          <t>THE2027 Reporter (unranked)</t>
        </is>
      </c>
      <c r="I359" s="3" t="inlineStr"/>
      <c r="J359" s="4" t="inlineStr">
        <is>
          <t>не в рейтинге</t>
        </is>
      </c>
      <c r="K359" s="4" t="inlineStr">
        <is>
          <t>Reporter</t>
        </is>
      </c>
      <c r="L359" s="4" t="inlineStr">
        <is>
          <t>нет в опубл. списке (опубликован только топ-15 страны)</t>
        </is>
      </c>
      <c r="M359" s="4" t="inlineStr">
        <is>
          <t>нет общенационального рейтинга</t>
        </is>
      </c>
      <c r="N359" s="4" t="inlineStr">
        <is>
          <t>—</t>
        </is>
      </c>
      <c r="O359" s="4" t="inlineStr">
        <is>
          <t>https://www.timeshighereducation.com/world-university-rankings/2027/world-ranking</t>
        </is>
      </c>
      <c r="P359" s="4" t="inlineStr">
        <is>
          <t>THE: в таблице как «Canadian International College – Cairo Campus of Cape Breton University Canada»;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0">
      <c r="A360" s="3" t="inlineStr">
        <is>
          <t>Egypt|Capital University (formerly Helwan University)</t>
        </is>
      </c>
      <c r="B360" s="3" t="inlineStr">
        <is>
          <t>Egypt</t>
        </is>
      </c>
      <c r="C360" s="3" t="inlineStr">
        <is>
          <t>Каир</t>
        </is>
      </c>
      <c r="D360" s="3" t="inlineStr">
        <is>
          <t>Capital University (formerly Helwan University)</t>
        </is>
      </c>
      <c r="E360" s="3" t="inlineStr">
        <is>
          <t>جامعة العاصمة</t>
        </is>
      </c>
      <c r="F360" s="3" t="inlineStr">
        <is>
          <t>https://www.capu.edu.eg</t>
        </is>
      </c>
      <c r="G360" s="3" t="inlineStr">
        <is>
          <t>QS2027: 1201–1400</t>
        </is>
      </c>
      <c r="H360" s="3" t="inlineStr">
        <is>
          <t>THE2027: 1601–1800</t>
        </is>
      </c>
      <c r="I360" s="3" t="inlineStr"/>
      <c r="J360" s="4" t="inlineStr">
        <is>
          <t>1201–1400</t>
        </is>
      </c>
      <c r="K360" s="4" t="inlineStr">
        <is>
          <t>1601–1800</t>
        </is>
      </c>
      <c r="L360" s="4" t="inlineStr">
        <is>
          <t>нет в опубл. списке (опубликован только топ-15 страны)</t>
        </is>
      </c>
      <c r="M360" s="4" t="inlineStr">
        <is>
          <t>нет общенационального рейтинга</t>
        </is>
      </c>
      <c r="N360" s="4" t="inlineStr">
        <is>
          <t>—</t>
        </is>
      </c>
      <c r="O360" s="4" t="inlineStr">
        <is>
          <t>https://www.topuniversities.com/world-university-rankings (QS WUR 2027)
https://www.timeshighereducation.com/world-university-rankings/2027/world-ranking</t>
        </is>
      </c>
      <c r="P360" s="4" t="inlineStr">
        <is>
          <t>QS: в таблице как «Capital University – Egypt»;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1">
      <c r="A361" s="3" t="inlineStr">
        <is>
          <t>Egypt|Damanhour University</t>
        </is>
      </c>
      <c r="B361" s="3" t="inlineStr">
        <is>
          <t>Egypt</t>
        </is>
      </c>
      <c r="C361" s="3" t="inlineStr">
        <is>
          <t>Даманхур</t>
        </is>
      </c>
      <c r="D361" s="3" t="inlineStr">
        <is>
          <t>Damanhour University</t>
        </is>
      </c>
      <c r="E361" s="3" t="inlineStr">
        <is>
          <t>جامعة دمنهور</t>
        </is>
      </c>
      <c r="F361" s="3" t="inlineStr">
        <is>
          <t>https://damanhour.dmu.edu.eg</t>
        </is>
      </c>
      <c r="G361" s="3" t="inlineStr"/>
      <c r="H361" s="3" t="inlineStr">
        <is>
          <t>THE2027: 1401–1600</t>
        </is>
      </c>
      <c r="I361" s="3" t="inlineStr"/>
      <c r="J361" s="4" t="inlineStr">
        <is>
          <t>не в рейтинге</t>
        </is>
      </c>
      <c r="K361" s="4" t="inlineStr">
        <is>
          <t>1401–1600</t>
        </is>
      </c>
      <c r="L361" s="4" t="inlineStr">
        <is>
          <t>нет в опубл. списке (опубликован только топ-15 страны)</t>
        </is>
      </c>
      <c r="M361" s="4" t="inlineStr">
        <is>
          <t>нет общенационального рейтинга</t>
        </is>
      </c>
      <c r="N361" s="4" t="inlineStr">
        <is>
          <t>—</t>
        </is>
      </c>
      <c r="O361" s="4" t="inlineStr">
        <is>
          <t>https://www.timeshighereducation.com/world-university-rankings/2027/world-ranking</t>
        </is>
      </c>
      <c r="P361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2">
      <c r="A362" s="3" t="inlineStr">
        <is>
          <t>Egypt|Delta University for Science and Technology</t>
        </is>
      </c>
      <c r="B362" s="3" t="inlineStr">
        <is>
          <t>Egypt</t>
        </is>
      </c>
      <c r="C362" s="3" t="inlineStr">
        <is>
          <t>Гамаса</t>
        </is>
      </c>
      <c r="D362" s="3" t="inlineStr">
        <is>
          <t>Delta University for Science and Technology</t>
        </is>
      </c>
      <c r="E362" s="3" t="inlineStr">
        <is>
          <t>جامعة الدلتا للعلوم والتكنولوجيا</t>
        </is>
      </c>
      <c r="F362" s="3" t="inlineStr">
        <is>
          <t>https://new.deltauniv.edu.eg</t>
        </is>
      </c>
      <c r="G362" s="3" t="inlineStr">
        <is>
          <t>QS2027: 1201–1400</t>
        </is>
      </c>
      <c r="H362" s="3" t="inlineStr">
        <is>
          <t>THE2027: 1001–1200</t>
        </is>
      </c>
      <c r="I362" s="3" t="inlineStr"/>
      <c r="J362" s="4" t="inlineStr">
        <is>
          <t>1201–1400</t>
        </is>
      </c>
      <c r="K362" s="4" t="inlineStr">
        <is>
          <t>1001–1200</t>
        </is>
      </c>
      <c r="L362" s="4" t="inlineStr">
        <is>
          <t>нет в опубл. списке (опубликован только топ-15 страны)</t>
        </is>
      </c>
      <c r="M362" s="4" t="inlineStr">
        <is>
          <t>нет общенационального рейтинга</t>
        </is>
      </c>
      <c r="N362" s="4" t="inlineStr">
        <is>
          <t>—</t>
        </is>
      </c>
      <c r="O362" s="4" t="inlineStr">
        <is>
          <t>https://www.topuniversities.com/world-university-rankings (QS WUR 2027)
https://www.timeshighereducation.com/world-university-rankings/2027/world-ranking</t>
        </is>
      </c>
      <c r="P362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3">
      <c r="A363" s="3" t="inlineStr">
        <is>
          <t>Egypt|Deraya University</t>
        </is>
      </c>
      <c r="B363" s="3" t="inlineStr">
        <is>
          <t>Egypt</t>
        </is>
      </c>
      <c r="C363" s="3" t="inlineStr">
        <is>
          <t>Новая Минья</t>
        </is>
      </c>
      <c r="D363" s="3" t="inlineStr">
        <is>
          <t>Deraya University</t>
        </is>
      </c>
      <c r="E363" s="3" t="inlineStr">
        <is>
          <t>جامعة دراية</t>
        </is>
      </c>
      <c r="F363" s="3" t="inlineStr">
        <is>
          <t>https://deraya.edu.eg</t>
        </is>
      </c>
      <c r="G363" s="3" t="inlineStr"/>
      <c r="H363" s="3" t="inlineStr"/>
      <c r="I363" s="3" t="inlineStr"/>
      <c r="J363" s="4" t="inlineStr">
        <is>
          <t>не в рейтинге</t>
        </is>
      </c>
      <c r="K363" s="4" t="inlineStr">
        <is>
          <t>Reporter</t>
        </is>
      </c>
      <c r="L363" s="4" t="inlineStr">
        <is>
          <t>нет в опубл. списке (опубликован только топ-15 страны)</t>
        </is>
      </c>
      <c r="M363" s="4" t="inlineStr">
        <is>
          <t>нет общенационального рейтинга</t>
        </is>
      </c>
      <c r="N363" s="4" t="inlineStr">
        <is>
          <t>—</t>
        </is>
      </c>
      <c r="O363" s="4" t="inlineStr">
        <is>
          <t>https://www.timeshighereducation.com/world-university-rankings/2027/world-ranking</t>
        </is>
      </c>
      <c r="P363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4">
      <c r="A364" s="3" t="inlineStr">
        <is>
          <t>Egypt|Egypt University of Informatics (EUI)</t>
        </is>
      </c>
      <c r="B364" s="3" t="inlineStr">
        <is>
          <t>Egypt</t>
        </is>
      </c>
      <c r="C364" s="3" t="inlineStr">
        <is>
          <t>Новая административная столица</t>
        </is>
      </c>
      <c r="D364" s="3" t="inlineStr">
        <is>
          <t>Egypt University of Informatics (EUI)</t>
        </is>
      </c>
      <c r="E364" s="3" t="inlineStr">
        <is>
          <t>جامعة مصر للمعلوماتية</t>
        </is>
      </c>
      <c r="F364" s="3" t="inlineStr">
        <is>
          <t>https://eui.edu.eg</t>
        </is>
      </c>
      <c r="G364" s="3" t="inlineStr"/>
      <c r="H364" s="3" t="inlineStr">
        <is>
          <t>THE2027 Reporter (unranked)</t>
        </is>
      </c>
      <c r="I364" s="3" t="inlineStr"/>
      <c r="J364" s="4" t="inlineStr">
        <is>
          <t>не в рейтинге</t>
        </is>
      </c>
      <c r="K364" s="4" t="inlineStr">
        <is>
          <t>Reporter</t>
        </is>
      </c>
      <c r="L364" s="4" t="inlineStr">
        <is>
          <t>нет в опубл. списке (опубликован только топ-15 страны)</t>
        </is>
      </c>
      <c r="M364" s="4" t="inlineStr">
        <is>
          <t>нет общенационального рейтинга</t>
        </is>
      </c>
      <c r="N364" s="4" t="inlineStr">
        <is>
          <t>—</t>
        </is>
      </c>
      <c r="O364" s="4" t="inlineStr">
        <is>
          <t>https://www.timeshighereducation.com/world-university-rankings/2027/world-ranking</t>
        </is>
      </c>
      <c r="P364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5">
      <c r="A365" s="3" t="inlineStr">
        <is>
          <t>Egypt|Egypt-Japan University of Science and Technology (E-JUST)</t>
        </is>
      </c>
      <c r="B365" s="3" t="inlineStr">
        <is>
          <t>Egypt</t>
        </is>
      </c>
      <c r="C365" s="3" t="inlineStr">
        <is>
          <t>Александрия</t>
        </is>
      </c>
      <c r="D365" s="3" t="inlineStr">
        <is>
          <t>Egypt-Japan University of Science and Technology (E-JUST)</t>
        </is>
      </c>
      <c r="E365" s="3" t="inlineStr">
        <is>
          <t>الجامعة المصرية اليابانية للعلوم والتكنولوجيا</t>
        </is>
      </c>
      <c r="F365" s="3" t="inlineStr">
        <is>
          <t>https://www.ejust.edu.eg</t>
        </is>
      </c>
      <c r="G365" s="3" t="inlineStr"/>
      <c r="H365" s="3" t="inlineStr">
        <is>
          <t>THE2027: 801–1000</t>
        </is>
      </c>
      <c r="I365" s="3" t="inlineStr"/>
      <c r="J365" s="4" t="inlineStr">
        <is>
          <t>801–850</t>
        </is>
      </c>
      <c r="K365" s="4" t="inlineStr">
        <is>
          <t>801–1000</t>
        </is>
      </c>
      <c r="L365" s="4" t="inlineStr">
        <is>
          <t>нет в опубл. списке (опубликован только топ-15 страны)</t>
        </is>
      </c>
      <c r="M365" s="4" t="inlineStr">
        <is>
          <t>нет общенационального рейтинга</t>
        </is>
      </c>
      <c r="N365" s="4" t="inlineStr">
        <is>
          <t>—</t>
        </is>
      </c>
      <c r="O365" s="4" t="inlineStr">
        <is>
          <t>https://www.topuniversities.com/world-university-rankings (QS WUR 2027)
https://www.timeshighereducation.com/world-university-rankings/2027/world-ranking</t>
        </is>
      </c>
      <c r="P365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6">
      <c r="A366" s="3" t="inlineStr">
        <is>
          <t>Egypt|Egyptian Russian University</t>
        </is>
      </c>
      <c r="B366" s="3" t="inlineStr">
        <is>
          <t>Egypt</t>
        </is>
      </c>
      <c r="C366" s="3" t="inlineStr">
        <is>
          <t>Бадр (Каир)</t>
        </is>
      </c>
      <c r="D366" s="3" t="inlineStr">
        <is>
          <t>Egyptian Russian University</t>
        </is>
      </c>
      <c r="E366" s="3" t="inlineStr">
        <is>
          <t>الجامعة المصرية الروسية</t>
        </is>
      </c>
      <c r="F366" s="3" t="inlineStr">
        <is>
          <t>https://eru.edu.eg</t>
        </is>
      </c>
      <c r="G366" s="3" t="inlineStr"/>
      <c r="H366" s="3" t="inlineStr">
        <is>
          <t>THE2027: 1601–1800</t>
        </is>
      </c>
      <c r="I366" s="3" t="inlineStr"/>
      <c r="J366" s="4" t="inlineStr">
        <is>
          <t>не в рейтинге</t>
        </is>
      </c>
      <c r="K366" s="4" t="inlineStr">
        <is>
          <t>1601–1800</t>
        </is>
      </c>
      <c r="L366" s="4" t="inlineStr">
        <is>
          <t>нет в опубл. списке (опубликован только топ-15 страны)</t>
        </is>
      </c>
      <c r="M366" s="4" t="inlineStr">
        <is>
          <t>нет общенационального рейтинга</t>
        </is>
      </c>
      <c r="N366" s="4" t="inlineStr">
        <is>
          <t>—</t>
        </is>
      </c>
      <c r="O366" s="4" t="inlineStr">
        <is>
          <t>https://www.timeshighereducation.com/world-university-rankings/2027/world-ranking</t>
        </is>
      </c>
      <c r="P366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7">
      <c r="A367" s="3" t="inlineStr">
        <is>
          <t>Egypt|Egyptian Space Agency (EgSA)</t>
        </is>
      </c>
      <c r="B367" s="3" t="inlineStr">
        <is>
          <t>Egypt</t>
        </is>
      </c>
      <c r="C367" s="3" t="inlineStr">
        <is>
          <t>Каир</t>
        </is>
      </c>
      <c r="D367" s="3" t="inlineStr">
        <is>
          <t>Egyptian Space Agency (EgSA)</t>
        </is>
      </c>
      <c r="E367" s="3" t="inlineStr">
        <is>
          <t>وكالة الفضاء المصرية</t>
        </is>
      </c>
      <c r="F367" s="3" t="inlineStr">
        <is>
          <t>https://www.egsa.gov.eg</t>
        </is>
      </c>
      <c r="G367" s="3" t="inlineStr"/>
      <c r="H367" s="3" t="inlineStr"/>
      <c r="I367" s="3" t="inlineStr"/>
      <c r="J367" s="4" t="inlineStr">
        <is>
          <t>не в рейтинге</t>
        </is>
      </c>
      <c r="K367" s="4" t="inlineStr">
        <is>
          <t>не в рейтинге</t>
        </is>
      </c>
      <c r="L367" s="4" t="inlineStr">
        <is>
          <t>нет в опубл. списке (опубликован только топ-15 страны)</t>
        </is>
      </c>
      <c r="M367" s="4" t="inlineStr">
        <is>
          <t>нет общенационального рейтинга</t>
        </is>
      </c>
      <c r="N367" s="4" t="inlineStr">
        <is>
          <t>—</t>
        </is>
      </c>
      <c r="O367" s="4" t="n"/>
      <c r="P367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8">
      <c r="A368" s="3" t="inlineStr">
        <is>
          <t>Egypt|Elsewedy University of Technology (SUTech) – Polytechnic of Egypt</t>
        </is>
      </c>
      <c r="B368" s="3" t="inlineStr">
        <is>
          <t>Egypt</t>
        </is>
      </c>
      <c r="C368" s="3" t="inlineStr">
        <is>
          <t>Каир</t>
        </is>
      </c>
      <c r="D368" s="3" t="inlineStr">
        <is>
          <t>Elsewedy University of Technology (SUTech) – Polytechnic of Egypt</t>
        </is>
      </c>
      <c r="E368" s="3" t="inlineStr"/>
      <c r="F368" s="3" t="inlineStr">
        <is>
          <t>https://sut.edu.eg</t>
        </is>
      </c>
      <c r="G368" s="3" t="inlineStr"/>
      <c r="H368" s="3" t="inlineStr">
        <is>
          <t>THE2027 Reporter (unranked)</t>
        </is>
      </c>
      <c r="I368" s="3" t="inlineStr"/>
      <c r="J368" s="4" t="inlineStr">
        <is>
          <t>не в рейтинге</t>
        </is>
      </c>
      <c r="K368" s="4" t="inlineStr">
        <is>
          <t>Reporter</t>
        </is>
      </c>
      <c r="L368" s="4" t="inlineStr">
        <is>
          <t>нет в опубл. списке (опубликован только топ-15 страны)</t>
        </is>
      </c>
      <c r="M368" s="4" t="inlineStr">
        <is>
          <t>нет общенационального рейтинга</t>
        </is>
      </c>
      <c r="N368" s="4" t="inlineStr">
        <is>
          <t>—</t>
        </is>
      </c>
      <c r="O368" s="4" t="inlineStr">
        <is>
          <t>https://www.timeshighereducation.com/world-university-rankings/2027/world-ranking</t>
        </is>
      </c>
      <c r="P368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69">
      <c r="A369" s="3" t="inlineStr">
        <is>
          <t>Egypt|Fayoum University</t>
        </is>
      </c>
      <c r="B369" s="3" t="inlineStr">
        <is>
          <t>Egypt</t>
        </is>
      </c>
      <c r="C369" s="3" t="inlineStr">
        <is>
          <t>Эль-Файюм</t>
        </is>
      </c>
      <c r="D369" s="3" t="inlineStr">
        <is>
          <t>Fayoum University</t>
        </is>
      </c>
      <c r="E369" s="3" t="inlineStr">
        <is>
          <t>جامعة الفيوم</t>
        </is>
      </c>
      <c r="F369" s="3" t="inlineStr">
        <is>
          <t>https://www.fayoum.edu.eg</t>
        </is>
      </c>
      <c r="G369" s="3" t="inlineStr"/>
      <c r="H369" s="3" t="inlineStr">
        <is>
          <t>THE2027: 1201–1400</t>
        </is>
      </c>
      <c r="I369" s="3" t="inlineStr"/>
      <c r="J369" s="4" t="inlineStr">
        <is>
          <t>не в рейтинге</t>
        </is>
      </c>
      <c r="K369" s="4" t="inlineStr">
        <is>
          <t>1201–1400</t>
        </is>
      </c>
      <c r="L369" s="4" t="inlineStr">
        <is>
          <t>нет в опубл. списке (опубликован только топ-15 страны)</t>
        </is>
      </c>
      <c r="M369" s="4" t="inlineStr">
        <is>
          <t>нет общенационального рейтинга</t>
        </is>
      </c>
      <c r="N369" s="4" t="inlineStr">
        <is>
          <t>—</t>
        </is>
      </c>
      <c r="O369" s="4" t="inlineStr">
        <is>
          <t>https://www.timeshighereducation.com/world-university-rankings/2027/world-ranking</t>
        </is>
      </c>
      <c r="P369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0">
      <c r="A370" s="3" t="inlineStr">
        <is>
          <t>Egypt|Future University in Egypt (FUE)</t>
        </is>
      </c>
      <c r="B370" s="3" t="inlineStr">
        <is>
          <t>Egypt</t>
        </is>
      </c>
      <c r="C370" s="3" t="inlineStr">
        <is>
          <t>Каир</t>
        </is>
      </c>
      <c r="D370" s="3" t="inlineStr">
        <is>
          <t>Future University in Egypt (FUE)</t>
        </is>
      </c>
      <c r="E370" s="3" t="inlineStr">
        <is>
          <t>جامعة المستقبل</t>
        </is>
      </c>
      <c r="F370" s="3" t="inlineStr">
        <is>
          <t>https://www.fue.edu.eg</t>
        </is>
      </c>
      <c r="G370" s="3" t="inlineStr">
        <is>
          <t>QS2027: 951–1000</t>
        </is>
      </c>
      <c r="H370" s="3" t="inlineStr">
        <is>
          <t>THE2027: 801–1000</t>
        </is>
      </c>
      <c r="I370" s="3" t="inlineStr"/>
      <c r="J370" s="4" t="inlineStr">
        <is>
          <t>951–1000</t>
        </is>
      </c>
      <c r="K370" s="4" t="inlineStr">
        <is>
          <t>801–1000</t>
        </is>
      </c>
      <c r="L370" s="4" t="inlineStr">
        <is>
          <t>972</t>
        </is>
      </c>
      <c r="M370" s="4" t="inlineStr">
        <is>
          <t>нет общенационального рейтинга</t>
        </is>
      </c>
      <c r="N370" s="4" t="inlineStr">
        <is>
          <t>—</t>
        </is>
      </c>
      <c r="O37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70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1">
      <c r="A371" s="3" t="inlineStr">
        <is>
          <t>Egypt|German University in Cairo (GUC)</t>
        </is>
      </c>
      <c r="B371" s="3" t="inlineStr">
        <is>
          <t>Egypt</t>
        </is>
      </c>
      <c r="C371" s="3" t="inlineStr">
        <is>
          <t>Каир</t>
        </is>
      </c>
      <c r="D371" s="3" t="inlineStr">
        <is>
          <t>German University in Cairo (GUC)</t>
        </is>
      </c>
      <c r="E371" s="3" t="inlineStr">
        <is>
          <t>الجامعة الألمانية بالقاهرة</t>
        </is>
      </c>
      <c r="F371" s="3" t="inlineStr">
        <is>
          <t>https://www.guc.edu.eg</t>
        </is>
      </c>
      <c r="G371" s="3" t="inlineStr">
        <is>
          <t>QS2027: 1401+</t>
        </is>
      </c>
      <c r="H371" s="3" t="inlineStr"/>
      <c r="I371" s="3" t="inlineStr"/>
      <c r="J371" s="4" t="inlineStr">
        <is>
          <t>1401+</t>
        </is>
      </c>
      <c r="K371" s="4" t="inlineStr">
        <is>
          <t>не в рейтинге</t>
        </is>
      </c>
      <c r="L371" s="4" t="inlineStr">
        <is>
          <t>нет в опубл. списке (опубликован только топ-15 страны)</t>
        </is>
      </c>
      <c r="M371" s="4" t="inlineStr">
        <is>
          <t>нет общенационального рейтинга</t>
        </is>
      </c>
      <c r="N371" s="4" t="inlineStr">
        <is>
          <t>—</t>
        </is>
      </c>
      <c r="O371" s="4" t="inlineStr">
        <is>
          <t>https://www.topuniversities.com/world-university-rankings (QS WUR 2027)</t>
        </is>
      </c>
      <c r="P371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2">
      <c r="A372" s="3" t="inlineStr">
        <is>
          <t>Egypt|Heliopolis University</t>
        </is>
      </c>
      <c r="B372" s="3" t="inlineStr">
        <is>
          <t>Egypt</t>
        </is>
      </c>
      <c r="C372" s="3" t="inlineStr">
        <is>
          <t>Каир</t>
        </is>
      </c>
      <c r="D372" s="3" t="inlineStr">
        <is>
          <t>Heliopolis University</t>
        </is>
      </c>
      <c r="E372" s="3" t="inlineStr">
        <is>
          <t>جامعة هليوبوليس</t>
        </is>
      </c>
      <c r="F372" s="3" t="inlineStr">
        <is>
          <t>https://hu.edu.eg</t>
        </is>
      </c>
      <c r="G372" s="3" t="inlineStr"/>
      <c r="H372" s="3" t="inlineStr"/>
      <c r="I372" s="3" t="inlineStr"/>
      <c r="J372" s="4" t="inlineStr">
        <is>
          <t>не в рейтинге</t>
        </is>
      </c>
      <c r="K372" s="4" t="inlineStr">
        <is>
          <t>не в рейтинге</t>
        </is>
      </c>
      <c r="L372" s="4" t="inlineStr">
        <is>
          <t>нет в опубл. списке (опубликован только топ-15 страны)</t>
        </is>
      </c>
      <c r="M372" s="4" t="inlineStr">
        <is>
          <t>нет общенационального рейтинга</t>
        </is>
      </c>
      <c r="N372" s="4" t="inlineStr">
        <is>
          <t>—</t>
        </is>
      </c>
      <c r="O372" s="4" t="n"/>
      <c r="P372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3">
      <c r="A373" s="3" t="inlineStr">
        <is>
          <t>Egypt|Horus University – Egypt (HUE)</t>
        </is>
      </c>
      <c r="B373" s="3" t="inlineStr">
        <is>
          <t>Egypt</t>
        </is>
      </c>
      <c r="C373" s="3" t="inlineStr">
        <is>
          <t>Новая Дамиетта</t>
        </is>
      </c>
      <c r="D373" s="3" t="inlineStr">
        <is>
          <t>Horus University – Egypt (HUE)</t>
        </is>
      </c>
      <c r="E373" s="3" t="inlineStr">
        <is>
          <t>جامعة حورس - مصر</t>
        </is>
      </c>
      <c r="F373" s="3" t="inlineStr">
        <is>
          <t>https://horus.edu.eg</t>
        </is>
      </c>
      <c r="G373" s="3" t="inlineStr"/>
      <c r="H373" s="3" t="inlineStr">
        <is>
          <t>THE2027: 1201–1400</t>
        </is>
      </c>
      <c r="I373" s="3" t="inlineStr"/>
      <c r="J373" s="4" t="inlineStr">
        <is>
          <t>не в рейтинге</t>
        </is>
      </c>
      <c r="K373" s="4" t="inlineStr">
        <is>
          <t>1201–1400</t>
        </is>
      </c>
      <c r="L373" s="4" t="inlineStr">
        <is>
          <t>нет в опубл. списке (опубликован только топ-15 страны)</t>
        </is>
      </c>
      <c r="M373" s="4" t="inlineStr">
        <is>
          <t>нет общенационального рейтинга</t>
        </is>
      </c>
      <c r="N373" s="4" t="inlineStr">
        <is>
          <t>—</t>
        </is>
      </c>
      <c r="O373" s="4" t="inlineStr">
        <is>
          <t>https://www.timeshighereducation.com/world-university-rankings/2027/world-ranking</t>
        </is>
      </c>
      <c r="P373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4">
      <c r="A374" s="3" t="inlineStr">
        <is>
          <t>Egypt|Kafrelsheikh University</t>
        </is>
      </c>
      <c r="B374" s="3" t="inlineStr">
        <is>
          <t>Egypt</t>
        </is>
      </c>
      <c r="C374" s="3" t="inlineStr">
        <is>
          <t>Кафр-эш-Шейх</t>
        </is>
      </c>
      <c r="D374" s="3" t="inlineStr">
        <is>
          <t>Kafrelsheikh University</t>
        </is>
      </c>
      <c r="E374" s="3" t="inlineStr">
        <is>
          <t>جامعة كفر الشيخ</t>
        </is>
      </c>
      <c r="F374" s="3" t="inlineStr">
        <is>
          <t>https://www.kfs.edu.eg</t>
        </is>
      </c>
      <c r="G374" s="3" t="inlineStr"/>
      <c r="H374" s="3" t="inlineStr"/>
      <c r="I374" s="3" t="inlineStr"/>
      <c r="J374" s="4" t="inlineStr">
        <is>
          <t>не в рейтинге</t>
        </is>
      </c>
      <c r="K374" s="4" t="inlineStr">
        <is>
          <t>не в рейтинге</t>
        </is>
      </c>
      <c r="L374" s="4" t="inlineStr">
        <is>
          <t>1605</t>
        </is>
      </c>
      <c r="M374" s="4" t="inlineStr">
        <is>
          <t>нет общенационального рейтинга</t>
        </is>
      </c>
      <c r="N374" s="4" t="inlineStr">
        <is>
          <t>—</t>
        </is>
      </c>
      <c r="O374" s="4" t="inlineStr">
        <is>
          <t>https://figshare.com/articles/preprint/Ranking_Web_of_Universities_webometrics_info_July_2026_edition/33062150</t>
        </is>
      </c>
      <c r="P374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5">
      <c r="A375" s="3" t="inlineStr">
        <is>
          <t>Egypt|Luxor University</t>
        </is>
      </c>
      <c r="B375" s="3" t="inlineStr">
        <is>
          <t>Egypt</t>
        </is>
      </c>
      <c r="C375" s="3" t="inlineStr">
        <is>
          <t>Луксор</t>
        </is>
      </c>
      <c r="D375" s="3" t="inlineStr">
        <is>
          <t>Luxor University</t>
        </is>
      </c>
      <c r="E375" s="3" t="inlineStr">
        <is>
          <t>جامعة الأقصر</t>
        </is>
      </c>
      <c r="F375" s="3" t="inlineStr">
        <is>
          <t>https://luxor.edu.eg</t>
        </is>
      </c>
      <c r="G375" s="3" t="inlineStr"/>
      <c r="H375" s="3" t="inlineStr"/>
      <c r="I375" s="3" t="inlineStr"/>
      <c r="J375" s="4" t="inlineStr">
        <is>
          <t>не в рейтинге</t>
        </is>
      </c>
      <c r="K375" s="4" t="inlineStr">
        <is>
          <t>Reporter</t>
        </is>
      </c>
      <c r="L375" s="4" t="inlineStr">
        <is>
          <t>нет в опубл. списке (опубликован только топ-15 страны)</t>
        </is>
      </c>
      <c r="M375" s="4" t="inlineStr">
        <is>
          <t>нет общенационального рейтинга</t>
        </is>
      </c>
      <c r="N375" s="4" t="inlineStr">
        <is>
          <t>—</t>
        </is>
      </c>
      <c r="O375" s="4" t="inlineStr">
        <is>
          <t>https://www.timeshighereducation.com/world-university-rankings/2027/world-ranking</t>
        </is>
      </c>
      <c r="P375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6">
      <c r="A376" s="3" t="inlineStr">
        <is>
          <t>Egypt|Mansoura University</t>
        </is>
      </c>
      <c r="B376" s="3" t="inlineStr">
        <is>
          <t>Egypt</t>
        </is>
      </c>
      <c r="C376" s="3" t="inlineStr">
        <is>
          <t>Мансура</t>
        </is>
      </c>
      <c r="D376" s="3" t="inlineStr">
        <is>
          <t>Mansoura University</t>
        </is>
      </c>
      <c r="E376" s="3" t="inlineStr">
        <is>
          <t>جامعة المنصورة</t>
        </is>
      </c>
      <c r="F376" s="3" t="inlineStr">
        <is>
          <t>https://www.mans.edu.eg</t>
        </is>
      </c>
      <c r="G376" s="3" t="inlineStr">
        <is>
          <t>QS2027: 1001–1200</t>
        </is>
      </c>
      <c r="H376" s="3" t="inlineStr">
        <is>
          <t>THE2027: 801–1000</t>
        </is>
      </c>
      <c r="I376" s="3" t="inlineStr"/>
      <c r="J376" s="4" t="inlineStr">
        <is>
          <t>1001–1200</t>
        </is>
      </c>
      <c r="K376" s="4" t="inlineStr">
        <is>
          <t>801–1000</t>
        </is>
      </c>
      <c r="L376" s="4" t="inlineStr">
        <is>
          <t>797</t>
        </is>
      </c>
      <c r="M376" s="4" t="inlineStr">
        <is>
          <t>нет общенационального рейтинга</t>
        </is>
      </c>
      <c r="N376" s="4" t="inlineStr">
        <is>
          <t>—</t>
        </is>
      </c>
      <c r="O37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76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7">
      <c r="A377" s="3" t="inlineStr">
        <is>
          <t>Egypt|Matrouh University</t>
        </is>
      </c>
      <c r="B377" s="3" t="inlineStr">
        <is>
          <t>Egypt</t>
        </is>
      </c>
      <c r="C377" s="3" t="inlineStr">
        <is>
          <t>Мерса-Матрух</t>
        </is>
      </c>
      <c r="D377" s="3" t="inlineStr">
        <is>
          <t>Matrouh University</t>
        </is>
      </c>
      <c r="E377" s="3" t="inlineStr">
        <is>
          <t>جامعة مطروح</t>
        </is>
      </c>
      <c r="F377" s="3" t="inlineStr">
        <is>
          <t>https://www.mau.edu.eg</t>
        </is>
      </c>
      <c r="G377" s="3" t="inlineStr"/>
      <c r="H377" s="3" t="inlineStr"/>
      <c r="I377" s="3" t="inlineStr"/>
      <c r="J377" s="4" t="inlineStr">
        <is>
          <t>не в рейтинге</t>
        </is>
      </c>
      <c r="K377" s="4" t="inlineStr">
        <is>
          <t>не в рейтинге</t>
        </is>
      </c>
      <c r="L377" s="4" t="inlineStr">
        <is>
          <t>нет в опубл. списке (опубликован только топ-15 страны)</t>
        </is>
      </c>
      <c r="M377" s="4" t="inlineStr">
        <is>
          <t>нет общенационального рейтинга</t>
        </is>
      </c>
      <c r="N377" s="4" t="inlineStr">
        <is>
          <t>—</t>
        </is>
      </c>
      <c r="O377" s="4" t="n"/>
      <c r="P377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8">
      <c r="A378" s="3" t="inlineStr">
        <is>
          <t>Egypt|Misr International University</t>
        </is>
      </c>
      <c r="B378" s="3" t="inlineStr">
        <is>
          <t>Egypt</t>
        </is>
      </c>
      <c r="C378" s="3" t="inlineStr">
        <is>
          <t>Каир</t>
        </is>
      </c>
      <c r="D378" s="3" t="inlineStr">
        <is>
          <t>Misr International University</t>
        </is>
      </c>
      <c r="E378" s="3" t="inlineStr">
        <is>
          <t>جامعة مصر الدولية</t>
        </is>
      </c>
      <c r="F378" s="3" t="inlineStr">
        <is>
          <t>https://www.miuegypt.edu.eg</t>
        </is>
      </c>
      <c r="G378" s="3" t="inlineStr"/>
      <c r="H378" s="3" t="inlineStr"/>
      <c r="I378" s="3" t="inlineStr"/>
      <c r="J378" s="4" t="inlineStr">
        <is>
          <t>не в рейтинге</t>
        </is>
      </c>
      <c r="K378" s="4" t="inlineStr">
        <is>
          <t>Reporter</t>
        </is>
      </c>
      <c r="L378" s="4" t="inlineStr">
        <is>
          <t>нет в опубл. списке (опубликован только топ-15 страны)</t>
        </is>
      </c>
      <c r="M378" s="4" t="inlineStr">
        <is>
          <t>нет общенационального рейтинга</t>
        </is>
      </c>
      <c r="N378" s="4" t="inlineStr">
        <is>
          <t>—</t>
        </is>
      </c>
      <c r="O378" s="4" t="inlineStr">
        <is>
          <t>https://www.timeshighereducation.com/world-university-rankings/2027/world-ranking</t>
        </is>
      </c>
      <c r="P378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79">
      <c r="A379" s="3" t="inlineStr">
        <is>
          <t>Egypt|Misr University for Science and Technology (MUST)</t>
        </is>
      </c>
      <c r="B379" s="3" t="inlineStr">
        <is>
          <t>Egypt</t>
        </is>
      </c>
      <c r="C379" s="3" t="inlineStr">
        <is>
          <t>Гиза</t>
        </is>
      </c>
      <c r="D379" s="3" t="inlineStr">
        <is>
          <t>Misr University for Science and Technology (MUST)</t>
        </is>
      </c>
      <c r="E379" s="3" t="inlineStr">
        <is>
          <t>جامعة مصر للعلوم والتكنولوجيا</t>
        </is>
      </c>
      <c r="F379" s="3" t="inlineStr">
        <is>
          <t>https://must.edu.eg</t>
        </is>
      </c>
      <c r="G379" s="3" t="inlineStr"/>
      <c r="H379" s="3" t="inlineStr">
        <is>
          <t>THE2027: 1801–2000</t>
        </is>
      </c>
      <c r="I379" s="3" t="inlineStr"/>
      <c r="J379" s="4" t="inlineStr">
        <is>
          <t>не в рейтинге</t>
        </is>
      </c>
      <c r="K379" s="4" t="inlineStr">
        <is>
          <t>1801–2000</t>
        </is>
      </c>
      <c r="L379" s="4" t="inlineStr">
        <is>
          <t>нет в опубл. списке (опубликован только топ-15 страны)</t>
        </is>
      </c>
      <c r="M379" s="4" t="inlineStr">
        <is>
          <t>нет общенационального рейтинга</t>
        </is>
      </c>
      <c r="N379" s="4" t="inlineStr">
        <is>
          <t>—</t>
        </is>
      </c>
      <c r="O379" s="4" t="inlineStr">
        <is>
          <t>https://www.timeshighereducation.com/world-university-rankings/2027/world-ranking</t>
        </is>
      </c>
      <c r="P379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0">
      <c r="A380" s="3" t="inlineStr">
        <is>
          <t>Egypt|Modern University for Technology and Information (MTI)</t>
        </is>
      </c>
      <c r="B380" s="3" t="inlineStr">
        <is>
          <t>Egypt</t>
        </is>
      </c>
      <c r="C380" s="3" t="inlineStr">
        <is>
          <t>Каир</t>
        </is>
      </c>
      <c r="D380" s="3" t="inlineStr">
        <is>
          <t>Modern University for Technology and Information (MTI)</t>
        </is>
      </c>
      <c r="E380" s="3" t="inlineStr">
        <is>
          <t>الجامعة الحديثة للتكنولوجيا والمعلومات</t>
        </is>
      </c>
      <c r="F380" s="3" t="inlineStr">
        <is>
          <t>https://www.mti.edu.eg</t>
        </is>
      </c>
      <c r="G380" s="3" t="inlineStr"/>
      <c r="H380" s="3" t="inlineStr"/>
      <c r="I380" s="3" t="inlineStr"/>
      <c r="J380" s="4" t="inlineStr">
        <is>
          <t>не в рейтинге</t>
        </is>
      </c>
      <c r="K380" s="4" t="inlineStr">
        <is>
          <t>не в рейтинге</t>
        </is>
      </c>
      <c r="L380" s="4" t="inlineStr">
        <is>
          <t>нет в опубл. списке (опубликован только топ-15 страны)</t>
        </is>
      </c>
      <c r="M380" s="4" t="inlineStr">
        <is>
          <t>нет общенационального рейтинга</t>
        </is>
      </c>
      <c r="N380" s="4" t="inlineStr">
        <is>
          <t>—</t>
        </is>
      </c>
      <c r="O380" s="4" t="n"/>
      <c r="P380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1">
      <c r="A381" s="3" t="inlineStr">
        <is>
          <t>Egypt|Nahda University in Beni Suef (NUB)</t>
        </is>
      </c>
      <c r="B381" s="3" t="inlineStr">
        <is>
          <t>Egypt</t>
        </is>
      </c>
      <c r="C381" s="3" t="inlineStr">
        <is>
          <t>Бени-Суэф</t>
        </is>
      </c>
      <c r="D381" s="3" t="inlineStr">
        <is>
          <t>Nahda University in Beni Suef (NUB)</t>
        </is>
      </c>
      <c r="E381" s="3" t="inlineStr">
        <is>
          <t>جامعة النهضة</t>
        </is>
      </c>
      <c r="F381" s="3" t="inlineStr">
        <is>
          <t>https://www.nub.edu.eg</t>
        </is>
      </c>
      <c r="G381" s="3" t="inlineStr"/>
      <c r="H381" s="3" t="inlineStr"/>
      <c r="I381" s="3" t="inlineStr"/>
      <c r="J381" s="4" t="inlineStr">
        <is>
          <t>не в рейтинге</t>
        </is>
      </c>
      <c r="K381" s="4" t="inlineStr">
        <is>
          <t>не в рейтинге</t>
        </is>
      </c>
      <c r="L381" s="4" t="inlineStr">
        <is>
          <t>нет в опубл. списке (опубликован только топ-15 страны)</t>
        </is>
      </c>
      <c r="M381" s="4" t="inlineStr">
        <is>
          <t>нет общенационального рейтинга</t>
        </is>
      </c>
      <c r="N381" s="4" t="inlineStr">
        <is>
          <t>—</t>
        </is>
      </c>
      <c r="O381" s="4" t="n"/>
      <c r="P381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2">
      <c r="A382" s="3" t="inlineStr">
        <is>
          <t>Egypt|National Research Institute of Astronomy and Geophysics (NRIAG)</t>
        </is>
      </c>
      <c r="B382" s="3" t="inlineStr">
        <is>
          <t>Egypt</t>
        </is>
      </c>
      <c r="C382" s="3" t="inlineStr">
        <is>
          <t>Каир</t>
        </is>
      </c>
      <c r="D382" s="3" t="inlineStr">
        <is>
          <t>National Research Institute of Astronomy and Geophysics (NRIAG)</t>
        </is>
      </c>
      <c r="E382" s="3" t="inlineStr">
        <is>
          <t>المعهد القومي للبحوث الفلكية والجيوفيزيقية</t>
        </is>
      </c>
      <c r="F382" s="3" t="inlineStr">
        <is>
          <t>https://www.nriag.sci.eg</t>
        </is>
      </c>
      <c r="G382" s="3" t="inlineStr"/>
      <c r="H382" s="3" t="inlineStr"/>
      <c r="I382" s="3" t="inlineStr"/>
      <c r="J382" s="4" t="inlineStr">
        <is>
          <t>не в рейтинге</t>
        </is>
      </c>
      <c r="K382" s="4" t="inlineStr">
        <is>
          <t>не в рейтинге</t>
        </is>
      </c>
      <c r="L382" s="4" t="inlineStr">
        <is>
          <t>нет в опубл. списке (опубликован только топ-15 страны)</t>
        </is>
      </c>
      <c r="M382" s="4" t="inlineStr">
        <is>
          <t>нет общенационального рейтинга</t>
        </is>
      </c>
      <c r="N382" s="4" t="inlineStr">
        <is>
          <t>—</t>
        </is>
      </c>
      <c r="O382" s="4" t="n"/>
      <c r="P382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3">
      <c r="A383" s="3" t="inlineStr">
        <is>
          <t>Egypt|Newgiza University (NGU)</t>
        </is>
      </c>
      <c r="B383" s="3" t="inlineStr">
        <is>
          <t>Egypt</t>
        </is>
      </c>
      <c r="C383" s="3" t="inlineStr">
        <is>
          <t>Гиза</t>
        </is>
      </c>
      <c r="D383" s="3" t="inlineStr">
        <is>
          <t>Newgiza University (NGU)</t>
        </is>
      </c>
      <c r="E383" s="3" t="inlineStr">
        <is>
          <t>جامعة نيو جيزة</t>
        </is>
      </c>
      <c r="F383" s="3" t="inlineStr">
        <is>
          <t>https://ngu.edu.eg</t>
        </is>
      </c>
      <c r="G383" s="3" t="inlineStr"/>
      <c r="H383" s="3" t="inlineStr"/>
      <c r="I383" s="3" t="inlineStr"/>
      <c r="J383" s="4" t="inlineStr">
        <is>
          <t>не в рейтинге</t>
        </is>
      </c>
      <c r="K383" s="4" t="inlineStr">
        <is>
          <t>не в рейтинге</t>
        </is>
      </c>
      <c r="L383" s="4" t="inlineStr">
        <is>
          <t>нет в опубл. списке (опубликован только топ-15 страны)</t>
        </is>
      </c>
      <c r="M383" s="4" t="inlineStr">
        <is>
          <t>нет общенационального рейтинга</t>
        </is>
      </c>
      <c r="N383" s="4" t="inlineStr">
        <is>
          <t>—</t>
        </is>
      </c>
      <c r="O383" s="4" t="n"/>
      <c r="P383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4">
      <c r="A384" s="3" t="inlineStr">
        <is>
          <t>Egypt|Nile University (NU)</t>
        </is>
      </c>
      <c r="B384" s="3" t="inlineStr">
        <is>
          <t>Egypt</t>
        </is>
      </c>
      <c r="C384" s="3" t="inlineStr">
        <is>
          <t>Гиза</t>
        </is>
      </c>
      <c r="D384" s="3" t="inlineStr">
        <is>
          <t>Nile University (NU)</t>
        </is>
      </c>
      <c r="E384" s="3" t="inlineStr">
        <is>
          <t>جامعة النيل</t>
        </is>
      </c>
      <c r="F384" s="3" t="inlineStr">
        <is>
          <t>https://nu.edu.eg</t>
        </is>
      </c>
      <c r="G384" s="3" t="inlineStr"/>
      <c r="H384" s="3" t="inlineStr">
        <is>
          <t>THE2027: 1801–2000</t>
        </is>
      </c>
      <c r="I384" s="3" t="inlineStr"/>
      <c r="J384" s="4" t="inlineStr">
        <is>
          <t>не в рейтинге</t>
        </is>
      </c>
      <c r="K384" s="4" t="inlineStr">
        <is>
          <t>1801–2000</t>
        </is>
      </c>
      <c r="L384" s="4" t="inlineStr">
        <is>
          <t>нет в опубл. списке (опубликован только топ-15 страны)</t>
        </is>
      </c>
      <c r="M384" s="4" t="inlineStr">
        <is>
          <t>нет общенационального рейтинга</t>
        </is>
      </c>
      <c r="N384" s="4" t="inlineStr">
        <is>
          <t>—</t>
        </is>
      </c>
      <c r="O384" s="4" t="inlineStr">
        <is>
          <t>https://www.timeshighereducation.com/world-university-rankings/2027/world-ranking</t>
        </is>
      </c>
      <c r="P384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5">
      <c r="A385" s="3" t="inlineStr">
        <is>
          <t>Egypt|Obour University for Science &amp; Technology (OUST)</t>
        </is>
      </c>
      <c r="B385" s="3" t="inlineStr">
        <is>
          <t>Egypt</t>
        </is>
      </c>
      <c r="C385" s="3" t="inlineStr">
        <is>
          <t>Эль-Обур</t>
        </is>
      </c>
      <c r="D385" s="3" t="inlineStr">
        <is>
          <t>Obour University for Science &amp; Technology (OUST)</t>
        </is>
      </c>
      <c r="E385" s="3" t="inlineStr">
        <is>
          <t>جامعة العبور للعلوم والتكنولوجيا</t>
        </is>
      </c>
      <c r="F385" s="3" t="inlineStr">
        <is>
          <t>https://oust.edu.eg</t>
        </is>
      </c>
      <c r="G385" s="3" t="inlineStr"/>
      <c r="H385" s="3" t="inlineStr"/>
      <c r="I385" s="3" t="inlineStr"/>
      <c r="J385" s="4" t="inlineStr">
        <is>
          <t>не в рейтинге</t>
        </is>
      </c>
      <c r="K385" s="4" t="inlineStr">
        <is>
          <t>Reporter</t>
        </is>
      </c>
      <c r="L385" s="4" t="inlineStr">
        <is>
          <t>нет в опубл. списке (опубликован только топ-15 страны)</t>
        </is>
      </c>
      <c r="M385" s="4" t="inlineStr">
        <is>
          <t>нет общенационального рейтинга</t>
        </is>
      </c>
      <c r="N385" s="4" t="inlineStr">
        <is>
          <t>—</t>
        </is>
      </c>
      <c r="O385" s="4" t="inlineStr">
        <is>
          <t>https://www.timeshighereducation.com/world-university-rankings/2027/world-ranking</t>
        </is>
      </c>
      <c r="P385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6">
      <c r="A386" s="3" t="inlineStr">
        <is>
          <t>Egypt|October 6 University</t>
        </is>
      </c>
      <c r="B386" s="3" t="inlineStr">
        <is>
          <t>Egypt</t>
        </is>
      </c>
      <c r="C386" s="3" t="inlineStr">
        <is>
          <t>Гиза</t>
        </is>
      </c>
      <c r="D386" s="3" t="inlineStr">
        <is>
          <t>October 6 University</t>
        </is>
      </c>
      <c r="E386" s="3" t="inlineStr">
        <is>
          <t>جامعة 6 أكتوبر</t>
        </is>
      </c>
      <c r="F386" s="3" t="inlineStr">
        <is>
          <t>https://o6u.edu.eg</t>
        </is>
      </c>
      <c r="G386" s="3" t="inlineStr"/>
      <c r="H386" s="3" t="inlineStr">
        <is>
          <t>THE2027: 1201–1400</t>
        </is>
      </c>
      <c r="I386" s="3" t="inlineStr"/>
      <c r="J386" s="4" t="inlineStr">
        <is>
          <t>не в рейтинге</t>
        </is>
      </c>
      <c r="K386" s="4" t="inlineStr">
        <is>
          <t>1201–1400</t>
        </is>
      </c>
      <c r="L386" s="4" t="inlineStr">
        <is>
          <t>нет в опубл. списке (опубликован только топ-15 страны)</t>
        </is>
      </c>
      <c r="M386" s="4" t="inlineStr">
        <is>
          <t>нет общенационального рейтинга</t>
        </is>
      </c>
      <c r="N386" s="4" t="inlineStr">
        <is>
          <t>—</t>
        </is>
      </c>
      <c r="O386" s="4" t="inlineStr">
        <is>
          <t>https://www.timeshighereducation.com/world-university-rankings/2027/world-ranking</t>
        </is>
      </c>
      <c r="P386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7">
      <c r="A387" s="3" t="inlineStr">
        <is>
          <t>Egypt|October University for Modern Sciences and Arts (MSA)</t>
        </is>
      </c>
      <c r="B387" s="3" t="inlineStr">
        <is>
          <t>Egypt</t>
        </is>
      </c>
      <c r="C387" s="3" t="inlineStr">
        <is>
          <t>Гиза</t>
        </is>
      </c>
      <c r="D387" s="3" t="inlineStr">
        <is>
          <t>October University for Modern Sciences and Arts (MSA)</t>
        </is>
      </c>
      <c r="E387" s="3" t="inlineStr">
        <is>
          <t>جامعة أكتوبر للعلوم الحديثة والآداب</t>
        </is>
      </c>
      <c r="F387" s="3" t="inlineStr">
        <is>
          <t>https://msa.edu.eg/msauniversity</t>
        </is>
      </c>
      <c r="G387" s="3" t="inlineStr"/>
      <c r="H387" s="3" t="inlineStr">
        <is>
          <t>THE2027: 1801–2000</t>
        </is>
      </c>
      <c r="I387" s="3" t="inlineStr"/>
      <c r="J387" s="4" t="inlineStr">
        <is>
          <t>не в рейтинге</t>
        </is>
      </c>
      <c r="K387" s="4" t="inlineStr">
        <is>
          <t>1801–2000</t>
        </is>
      </c>
      <c r="L387" s="4" t="inlineStr">
        <is>
          <t>нет в опубл. списке (опубликован только топ-15 страны)</t>
        </is>
      </c>
      <c r="M387" s="4" t="inlineStr">
        <is>
          <t>нет общенационального рейтинга</t>
        </is>
      </c>
      <c r="N387" s="4" t="inlineStr">
        <is>
          <t>—</t>
        </is>
      </c>
      <c r="O387" s="4" t="inlineStr">
        <is>
          <t>https://www.timeshighereducation.com/world-university-rankings/2027/world-ranking</t>
        </is>
      </c>
      <c r="P387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8">
      <c r="A388" s="3" t="inlineStr">
        <is>
          <t>Egypt|Pharos University in Alexandria</t>
        </is>
      </c>
      <c r="B388" s="3" t="inlineStr">
        <is>
          <t>Egypt</t>
        </is>
      </c>
      <c r="C388" s="3" t="inlineStr">
        <is>
          <t>Александрия</t>
        </is>
      </c>
      <c r="D388" s="3" t="inlineStr">
        <is>
          <t>Pharos University in Alexandria</t>
        </is>
      </c>
      <c r="E388" s="3" t="inlineStr">
        <is>
          <t>جامعة فاروس بالإسكندرية</t>
        </is>
      </c>
      <c r="F388" s="3" t="inlineStr">
        <is>
          <t>https://www.pua.edu.eg</t>
        </is>
      </c>
      <c r="G388" s="3" t="inlineStr"/>
      <c r="H388" s="3" t="inlineStr">
        <is>
          <t>THE2027: 1601–1800</t>
        </is>
      </c>
      <c r="I388" s="3" t="inlineStr"/>
      <c r="J388" s="4" t="inlineStr">
        <is>
          <t>не в рейтинге</t>
        </is>
      </c>
      <c r="K388" s="4" t="inlineStr">
        <is>
          <t>1601–1800</t>
        </is>
      </c>
      <c r="L388" s="4" t="inlineStr">
        <is>
          <t>нет в опубл. списке (опубликован только топ-15 страны)</t>
        </is>
      </c>
      <c r="M388" s="4" t="inlineStr">
        <is>
          <t>нет общенационального рейтинга</t>
        </is>
      </c>
      <c r="N388" s="4" t="inlineStr">
        <is>
          <t>—</t>
        </is>
      </c>
      <c r="O388" s="4" t="inlineStr">
        <is>
          <t>https://www.timeshighereducation.com/world-university-rankings/2027/world-ranking</t>
        </is>
      </c>
      <c r="P388" s="4" t="inlineStr">
        <is>
          <t>THE: в таблице как «Pharos University»;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89">
      <c r="A389" s="3" t="inlineStr">
        <is>
          <t>Egypt|Port Said University</t>
        </is>
      </c>
      <c r="B389" s="3" t="inlineStr">
        <is>
          <t>Egypt</t>
        </is>
      </c>
      <c r="C389" s="3" t="inlineStr">
        <is>
          <t>Порт-Саид</t>
        </is>
      </c>
      <c r="D389" s="3" t="inlineStr">
        <is>
          <t>Port Said University</t>
        </is>
      </c>
      <c r="E389" s="3" t="inlineStr">
        <is>
          <t>جامعة بورسعيد</t>
        </is>
      </c>
      <c r="F389" s="3" t="inlineStr">
        <is>
          <t>https://psu.edu.eg</t>
        </is>
      </c>
      <c r="G389" s="3" t="inlineStr"/>
      <c r="H389" s="3" t="inlineStr">
        <is>
          <t>THE2027: 1401–1600</t>
        </is>
      </c>
      <c r="I389" s="3" t="inlineStr"/>
      <c r="J389" s="4" t="inlineStr">
        <is>
          <t>не в рейтинге</t>
        </is>
      </c>
      <c r="K389" s="4" t="inlineStr">
        <is>
          <t>1401–1600</t>
        </is>
      </c>
      <c r="L389" s="4" t="inlineStr">
        <is>
          <t>нет в опубл. списке (опубликован только топ-15 страны)</t>
        </is>
      </c>
      <c r="M389" s="4" t="inlineStr">
        <is>
          <t>нет общенационального рейтинга</t>
        </is>
      </c>
      <c r="N389" s="4" t="inlineStr">
        <is>
          <t>—</t>
        </is>
      </c>
      <c r="O389" s="4" t="inlineStr">
        <is>
          <t>https://www.timeshighereducation.com/world-university-rankings/2027/world-ranking</t>
        </is>
      </c>
      <c r="P389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0">
      <c r="A390" s="3" t="inlineStr">
        <is>
          <t>Egypt|Qena University</t>
        </is>
      </c>
      <c r="B390" s="3" t="inlineStr">
        <is>
          <t>Egypt</t>
        </is>
      </c>
      <c r="C390" s="3" t="inlineStr">
        <is>
          <t>Кена</t>
        </is>
      </c>
      <c r="D390" s="3" t="inlineStr">
        <is>
          <t>Qena University</t>
        </is>
      </c>
      <c r="E390" s="3" t="inlineStr">
        <is>
          <t>جامعة قنا</t>
        </is>
      </c>
      <c r="F390" s="3" t="inlineStr">
        <is>
          <t>https://www.svu.edu.eg</t>
        </is>
      </c>
      <c r="G390" s="3" t="inlineStr"/>
      <c r="H390" s="3" t="inlineStr">
        <is>
          <t>THE2027: 1401–1600</t>
        </is>
      </c>
      <c r="I390" s="3" t="inlineStr"/>
      <c r="J390" s="4" t="inlineStr">
        <is>
          <t>не в рейтинге</t>
        </is>
      </c>
      <c r="K390" s="4" t="inlineStr">
        <is>
          <t>1401–1600</t>
        </is>
      </c>
      <c r="L390" s="4" t="inlineStr">
        <is>
          <t>нет в опубл. списке (опубликован только топ-15 страны)</t>
        </is>
      </c>
      <c r="M390" s="4" t="inlineStr">
        <is>
          <t>нет общенационального рейтинга</t>
        </is>
      </c>
      <c r="N390" s="4" t="inlineStr">
        <is>
          <t>—</t>
        </is>
      </c>
      <c r="O390" s="4" t="inlineStr">
        <is>
          <t>https://www.timeshighereducation.com/world-university-rankings/2027/world-ranking</t>
        </is>
      </c>
      <c r="P390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1">
      <c r="A391" s="3" t="inlineStr">
        <is>
          <t>Egypt|Sinai University</t>
        </is>
      </c>
      <c r="B391" s="3" t="inlineStr">
        <is>
          <t>Egypt</t>
        </is>
      </c>
      <c r="C391" s="3" t="inlineStr">
        <is>
          <t>Эль-Ариш</t>
        </is>
      </c>
      <c r="D391" s="3" t="inlineStr">
        <is>
          <t>Sinai University</t>
        </is>
      </c>
      <c r="E391" s="3" t="inlineStr"/>
      <c r="F391" s="3" t="inlineStr">
        <is>
          <t>https://www.su.edu.eg</t>
        </is>
      </c>
      <c r="G391" s="3" t="inlineStr"/>
      <c r="H391" s="3" t="inlineStr"/>
      <c r="I391" s="3" t="inlineStr"/>
      <c r="J391" s="4" t="inlineStr">
        <is>
          <t>не в рейтинге</t>
        </is>
      </c>
      <c r="K391" s="4" t="inlineStr">
        <is>
          <t>не в рейтинге</t>
        </is>
      </c>
      <c r="L391" s="4" t="inlineStr">
        <is>
          <t>нет в опубл. списке (опубликован только топ-15 страны)</t>
        </is>
      </c>
      <c r="M391" s="4" t="inlineStr">
        <is>
          <t>нет общенационального рейтинга</t>
        </is>
      </c>
      <c r="N391" s="4" t="inlineStr">
        <is>
          <t>—</t>
        </is>
      </c>
      <c r="O391" s="4" t="n"/>
      <c r="P391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2">
      <c r="A392" s="3" t="inlineStr">
        <is>
          <t>Egypt|Sohag University</t>
        </is>
      </c>
      <c r="B392" s="3" t="inlineStr">
        <is>
          <t>Egypt</t>
        </is>
      </c>
      <c r="C392" s="3" t="inlineStr">
        <is>
          <t>Сохаг</t>
        </is>
      </c>
      <c r="D392" s="3" t="inlineStr">
        <is>
          <t>Sohag University</t>
        </is>
      </c>
      <c r="E392" s="3" t="inlineStr">
        <is>
          <t>جامعة سوهاج</t>
        </is>
      </c>
      <c r="F392" s="3" t="inlineStr">
        <is>
          <t>https://www.sohag-univ.edu.eg</t>
        </is>
      </c>
      <c r="G392" s="3" t="inlineStr"/>
      <c r="H392" s="3" t="inlineStr">
        <is>
          <t>THE2027: 1401–1600</t>
        </is>
      </c>
      <c r="I392" s="3" t="inlineStr"/>
      <c r="J392" s="4" t="inlineStr">
        <is>
          <t>не в рейтинге</t>
        </is>
      </c>
      <c r="K392" s="4" t="inlineStr">
        <is>
          <t>1401–1600</t>
        </is>
      </c>
      <c r="L392" s="4" t="inlineStr">
        <is>
          <t>нет в опубл. списке (опубликован только топ-15 страны)</t>
        </is>
      </c>
      <c r="M392" s="4" t="inlineStr">
        <is>
          <t>нет общенационального рейтинга</t>
        </is>
      </c>
      <c r="N392" s="4" t="inlineStr">
        <is>
          <t>—</t>
        </is>
      </c>
      <c r="O392" s="4" t="inlineStr">
        <is>
          <t>https://www.timeshighereducation.com/world-university-rankings/2027/world-ranking</t>
        </is>
      </c>
      <c r="P392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3">
      <c r="A393" s="3" t="inlineStr">
        <is>
          <t>Egypt|Suez Canal University (SCU)</t>
        </is>
      </c>
      <c r="B393" s="3" t="inlineStr">
        <is>
          <t>Egypt</t>
        </is>
      </c>
      <c r="C393" s="3" t="inlineStr">
        <is>
          <t>Исмаилия</t>
        </is>
      </c>
      <c r="D393" s="3" t="inlineStr">
        <is>
          <t>Suez Canal University (SCU)</t>
        </is>
      </c>
      <c r="E393" s="3" t="inlineStr">
        <is>
          <t>جامعة قناة السويس</t>
        </is>
      </c>
      <c r="F393" s="3" t="inlineStr">
        <is>
          <t>https://suez.edu.eg</t>
        </is>
      </c>
      <c r="G393" s="3" t="inlineStr"/>
      <c r="H393" s="3" t="inlineStr">
        <is>
          <t>THE2027: 1201–1400</t>
        </is>
      </c>
      <c r="I393" s="3" t="inlineStr"/>
      <c r="J393" s="4" t="inlineStr">
        <is>
          <t>не в рейтинге</t>
        </is>
      </c>
      <c r="K393" s="4" t="inlineStr">
        <is>
          <t>1201–1400</t>
        </is>
      </c>
      <c r="L393" s="4" t="inlineStr">
        <is>
          <t>нет в опубл. списке (опубликован только топ-15 страны)</t>
        </is>
      </c>
      <c r="M393" s="4" t="inlineStr">
        <is>
          <t>нет общенационального рейтинга</t>
        </is>
      </c>
      <c r="N393" s="4" t="inlineStr">
        <is>
          <t>—</t>
        </is>
      </c>
      <c r="O393" s="4" t="inlineStr">
        <is>
          <t>https://www.timeshighereducation.com/world-university-rankings/2027/world-ranking</t>
        </is>
      </c>
      <c r="P393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4">
      <c r="A394" s="3" t="inlineStr">
        <is>
          <t>Egypt|Tanta University</t>
        </is>
      </c>
      <c r="B394" s="3" t="inlineStr">
        <is>
          <t>Egypt</t>
        </is>
      </c>
      <c r="C394" s="3" t="inlineStr">
        <is>
          <t>Танта</t>
        </is>
      </c>
      <c r="D394" s="3" t="inlineStr">
        <is>
          <t>Tanta University</t>
        </is>
      </c>
      <c r="E394" s="3" t="inlineStr">
        <is>
          <t>جامعة طنطا</t>
        </is>
      </c>
      <c r="F394" s="3" t="inlineStr">
        <is>
          <t>https://tanta.edu.eg</t>
        </is>
      </c>
      <c r="G394" s="3" t="inlineStr">
        <is>
          <t>QS2027: 1401+</t>
        </is>
      </c>
      <c r="H394" s="3" t="inlineStr">
        <is>
          <t>THE2027: 1001–1200</t>
        </is>
      </c>
      <c r="I394" s="3" t="inlineStr"/>
      <c r="J394" s="4" t="inlineStr">
        <is>
          <t>1401+</t>
        </is>
      </c>
      <c r="K394" s="4" t="inlineStr">
        <is>
          <t>1001–1200</t>
        </is>
      </c>
      <c r="L394" s="4" t="inlineStr">
        <is>
          <t>1175</t>
        </is>
      </c>
      <c r="M394" s="4" t="inlineStr">
        <is>
          <t>нет общенационального рейтинга</t>
        </is>
      </c>
      <c r="N394" s="4" t="inlineStr">
        <is>
          <t>—</t>
        </is>
      </c>
      <c r="O39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94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5">
      <c r="A395" s="3" t="inlineStr">
        <is>
          <t>Egypt|The American University in Cairo (AUC)</t>
        </is>
      </c>
      <c r="B395" s="3" t="inlineStr">
        <is>
          <t>Egypt</t>
        </is>
      </c>
      <c r="C395" s="3" t="inlineStr">
        <is>
          <t>Каир</t>
        </is>
      </c>
      <c r="D395" s="3" t="inlineStr">
        <is>
          <t>The American University in Cairo (AUC)</t>
        </is>
      </c>
      <c r="E395" s="3" t="inlineStr">
        <is>
          <t>الجامعة الأمريكية بالقاهرة</t>
        </is>
      </c>
      <c r="F395" s="3" t="inlineStr">
        <is>
          <t>https://www.aucegypt.edu</t>
        </is>
      </c>
      <c r="G395" s="3" t="inlineStr">
        <is>
          <t>QS2027: 390</t>
        </is>
      </c>
      <c r="H395" s="3" t="inlineStr">
        <is>
          <t>THE2027: 701–800</t>
        </is>
      </c>
      <c r="I395" s="3" t="inlineStr"/>
      <c r="J395" s="4">
        <f>390</f>
        <v/>
      </c>
      <c r="K395" s="4" t="inlineStr">
        <is>
          <t>701–800</t>
        </is>
      </c>
      <c r="L395" s="4" t="inlineStr">
        <is>
          <t>1221</t>
        </is>
      </c>
      <c r="M395" s="4" t="inlineStr">
        <is>
          <t>нет общенационального рейтинга</t>
        </is>
      </c>
      <c r="N395" s="4" t="inlineStr">
        <is>
          <t>—</t>
        </is>
      </c>
      <c r="O39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95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6">
      <c r="A396" s="3" t="inlineStr">
        <is>
          <t>Egypt|The British University in Egypt (BUE)</t>
        </is>
      </c>
      <c r="B396" s="3" t="inlineStr">
        <is>
          <t>Egypt</t>
        </is>
      </c>
      <c r="C396" s="3" t="inlineStr">
        <is>
          <t>Каир</t>
        </is>
      </c>
      <c r="D396" s="3" t="inlineStr">
        <is>
          <t>The British University in Egypt (BUE)</t>
        </is>
      </c>
      <c r="E396" s="3" t="inlineStr">
        <is>
          <t>الجامعة البريطانية في مصر</t>
        </is>
      </c>
      <c r="F396" s="3" t="inlineStr">
        <is>
          <t>https://www.bue.edu.eg</t>
        </is>
      </c>
      <c r="G396" s="3" t="inlineStr">
        <is>
          <t>QS2027: 1201–1400</t>
        </is>
      </c>
      <c r="H396" s="3" t="inlineStr">
        <is>
          <t>THE2027: 1401–1600</t>
        </is>
      </c>
      <c r="I396" s="3" t="inlineStr"/>
      <c r="J396" s="4" t="inlineStr">
        <is>
          <t>1201–1400</t>
        </is>
      </c>
      <c r="K396" s="4" t="inlineStr">
        <is>
          <t>1401–1600</t>
        </is>
      </c>
      <c r="L396" s="4" t="inlineStr">
        <is>
          <t>нет в опубл. списке (опубликован только топ-15 страны)</t>
        </is>
      </c>
      <c r="M396" s="4" t="inlineStr">
        <is>
          <t>нет общенационального рейтинга</t>
        </is>
      </c>
      <c r="N396" s="4" t="inlineStr">
        <is>
          <t>—</t>
        </is>
      </c>
      <c r="O396" s="4" t="inlineStr">
        <is>
          <t>https://www.topuniversities.com/world-university-rankings (QS WUR 2027)
https://www.timeshighereducation.com/world-university-rankings/2027/world-ranking</t>
        </is>
      </c>
      <c r="P396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7">
      <c r="A397" s="3" t="inlineStr">
        <is>
          <t>Egypt|Zagazig University</t>
        </is>
      </c>
      <c r="B397" s="3" t="inlineStr">
        <is>
          <t>Egypt</t>
        </is>
      </c>
      <c r="C397" s="3" t="inlineStr">
        <is>
          <t>Загазиг</t>
        </is>
      </c>
      <c r="D397" s="3" t="inlineStr">
        <is>
          <t>Zagazig University</t>
        </is>
      </c>
      <c r="E397" s="3" t="inlineStr">
        <is>
          <t>جامعة الزقازيق</t>
        </is>
      </c>
      <c r="F397" s="3" t="inlineStr">
        <is>
          <t>https://www.zu.edu.eg</t>
        </is>
      </c>
      <c r="G397" s="3" t="inlineStr"/>
      <c r="H397" s="3" t="inlineStr">
        <is>
          <t>THE2027: 801–1000</t>
        </is>
      </c>
      <c r="I397" s="3" t="inlineStr"/>
      <c r="J397" s="4" t="inlineStr">
        <is>
          <t>1201–1400</t>
        </is>
      </c>
      <c r="K397" s="4" t="inlineStr">
        <is>
          <t>801–1000</t>
        </is>
      </c>
      <c r="L397" s="4" t="inlineStr">
        <is>
          <t>1066</t>
        </is>
      </c>
      <c r="M397" s="4" t="inlineStr">
        <is>
          <t>нет общенационального рейтинга</t>
        </is>
      </c>
      <c r="N397" s="4" t="inlineStr">
        <is>
          <t>—</t>
        </is>
      </c>
      <c r="O39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397" s="4" t="inlineStr">
        <is>
          <t>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8">
      <c r="A398" s="3" t="inlineStr">
        <is>
          <t>Egypt|Zewail City of Science, Technology and Innovation</t>
        </is>
      </c>
      <c r="B398" s="3" t="inlineStr">
        <is>
          <t>Egypt</t>
        </is>
      </c>
      <c r="C398" s="3" t="inlineStr">
        <is>
          <t>Гиза</t>
        </is>
      </c>
      <c r="D398" s="3" t="inlineStr">
        <is>
          <t>Zewail City of Science, Technology and Innovation</t>
        </is>
      </c>
      <c r="E398" s="3" t="inlineStr">
        <is>
          <t>مدينة زويل للعلوم والتكنولوجيا والابتكار</t>
        </is>
      </c>
      <c r="F398" s="3" t="inlineStr">
        <is>
          <t>https://zewailcity.edu.eg</t>
        </is>
      </c>
      <c r="G398" s="3" t="inlineStr"/>
      <c r="H398" s="3" t="inlineStr">
        <is>
          <t>THE2027: 1401–1600</t>
        </is>
      </c>
      <c r="I398" s="3" t="inlineStr"/>
      <c r="J398" s="4" t="inlineStr">
        <is>
          <t>не в рейтинге</t>
        </is>
      </c>
      <c r="K398" s="4" t="inlineStr">
        <is>
          <t>1401–1600</t>
        </is>
      </c>
      <c r="L398" s="4" t="inlineStr">
        <is>
          <t>нет в опубл. списке (опубликован только топ-15 страны)</t>
        </is>
      </c>
      <c r="M398" s="4" t="inlineStr">
        <is>
          <t>нет общенационального рейтинга</t>
        </is>
      </c>
      <c r="N398" s="4" t="inlineStr">
        <is>
          <t>—</t>
        </is>
      </c>
      <c r="O398" s="4" t="inlineStr">
        <is>
          <t>https://www.timeshighereducation.com/world-university-rankings/2027/world-ranking</t>
        </is>
      </c>
      <c r="P398" s="4" t="inlineStr">
        <is>
          <t>THE: в таблице как «Zewail City of Science and Technology»;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исключены).</t>
        </is>
      </c>
    </row>
    <row r="399">
      <c r="A399" s="3" t="inlineStr">
        <is>
          <t>Ethiopia|Adama Science and Technology University</t>
        </is>
      </c>
      <c r="B399" s="3" t="inlineStr">
        <is>
          <t>Ethiopia</t>
        </is>
      </c>
      <c r="C399" s="3" t="inlineStr">
        <is>
          <t>Адама</t>
        </is>
      </c>
      <c r="D399" s="3" t="inlineStr">
        <is>
          <t>Adama Science and Technology University</t>
        </is>
      </c>
      <c r="E399" s="3" t="inlineStr">
        <is>
          <t>አዳማ ሳይንስና ቴክኖሎጂ ዩኒቨርሲቲ</t>
        </is>
      </c>
      <c r="F399" s="3" t="inlineStr">
        <is>
          <t>https://www.astu.edu.et</t>
        </is>
      </c>
      <c r="G399" s="3" t="inlineStr"/>
      <c r="H399" s="3" t="inlineStr"/>
      <c r="I399" s="3" t="inlineStr"/>
      <c r="J399" s="4" t="inlineStr">
        <is>
          <t>не в рейтинге</t>
        </is>
      </c>
      <c r="K399" s="4" t="inlineStr">
        <is>
          <t>не в рейтинге</t>
        </is>
      </c>
      <c r="L399" s="4" t="inlineStr">
        <is>
          <t>3948</t>
        </is>
      </c>
      <c r="M399" s="4" t="inlineStr">
        <is>
          <t>нет общенационального рейтинга</t>
        </is>
      </c>
      <c r="N399" s="4" t="inlineStr">
        <is>
          <t>—</t>
        </is>
      </c>
      <c r="O399" s="4" t="inlineStr">
        <is>
          <t>https://figshare.com/articles/preprint/Ranking_Web_of_Universities_webometrics_info_July_2026_edition/33062150</t>
        </is>
      </c>
      <c r="P399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0">
      <c r="A400" s="3" t="inlineStr">
        <is>
          <t>Ethiopia|Addis Ababa Science and Technology University</t>
        </is>
      </c>
      <c r="B400" s="3" t="inlineStr">
        <is>
          <t>Ethiopia</t>
        </is>
      </c>
      <c r="C400" s="3" t="inlineStr">
        <is>
          <t>Аддис-Абеба</t>
        </is>
      </c>
      <c r="D400" s="3" t="inlineStr">
        <is>
          <t>Addis Ababa Science and Technology University</t>
        </is>
      </c>
      <c r="E400" s="3" t="inlineStr">
        <is>
          <t>አዲስ አበባ ሳይንስና ቴክኖሎጂ ዩኒቨርሲቲ</t>
        </is>
      </c>
      <c r="F400" s="3" t="inlineStr">
        <is>
          <t>https://www.aastu.edu.et</t>
        </is>
      </c>
      <c r="G400" s="3" t="inlineStr"/>
      <c r="H400" s="3" t="inlineStr"/>
      <c r="I400" s="3" t="inlineStr"/>
      <c r="J400" s="4" t="inlineStr">
        <is>
          <t>не в рейтинге</t>
        </is>
      </c>
      <c r="K400" s="4" t="inlineStr">
        <is>
          <t>не в рейтинге</t>
        </is>
      </c>
      <c r="L400" s="4" t="inlineStr">
        <is>
          <t>3527</t>
        </is>
      </c>
      <c r="M400" s="4" t="inlineStr">
        <is>
          <t>нет общенационального рейтинга</t>
        </is>
      </c>
      <c r="N400" s="4" t="inlineStr">
        <is>
          <t>—</t>
        </is>
      </c>
      <c r="O400" s="4" t="inlineStr">
        <is>
          <t>https://figshare.com/articles/preprint/Ranking_Web_of_Universities_webometrics_info_July_2026_edition/33062150</t>
        </is>
      </c>
      <c r="P400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1">
      <c r="A401" s="3" t="inlineStr">
        <is>
          <t>Ethiopia|Addis Ababa University</t>
        </is>
      </c>
      <c r="B401" s="3" t="inlineStr">
        <is>
          <t>Ethiopia</t>
        </is>
      </c>
      <c r="C401" s="3" t="inlineStr">
        <is>
          <t>Аддис-Абеба</t>
        </is>
      </c>
      <c r="D401" s="3" t="inlineStr">
        <is>
          <t>Addis Ababa University</t>
        </is>
      </c>
      <c r="E401" s="3" t="inlineStr">
        <is>
          <t>አዲስ አበባ ዩኒቨርሲቲ</t>
        </is>
      </c>
      <c r="F401" s="3" t="inlineStr">
        <is>
          <t>https://www.aau.edu.et</t>
        </is>
      </c>
      <c r="G401" s="3" t="inlineStr"/>
      <c r="H401" s="3" t="inlineStr"/>
      <c r="I401" s="3" t="inlineStr"/>
      <c r="J401" s="4" t="inlineStr">
        <is>
          <t>951–1000</t>
        </is>
      </c>
      <c r="K401" s="4" t="inlineStr">
        <is>
          <t>не в рейтинге</t>
        </is>
      </c>
      <c r="L401" s="4" t="inlineStr">
        <is>
          <t>1109</t>
        </is>
      </c>
      <c r="M401" s="4" t="inlineStr">
        <is>
          <t>нет общенационального рейтинга</t>
        </is>
      </c>
      <c r="N401" s="4" t="inlineStr">
        <is>
          <t>—</t>
        </is>
      </c>
      <c r="O401" s="4" t="inlineStr">
        <is>
          <t>https://www.topuniversities.com/world-university-rankings (QS WUR 2027)
https://figshare.com/articles/preprint/Ranking_Web_of_Universities_webometrics_info_July_2026_edition/33062150</t>
        </is>
      </c>
      <c r="P401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2">
      <c r="A402" s="3" t="inlineStr">
        <is>
          <t>Ethiopia|Aksum University</t>
        </is>
      </c>
      <c r="B402" s="3" t="inlineStr">
        <is>
          <t>Ethiopia</t>
        </is>
      </c>
      <c r="C402" s="3" t="inlineStr">
        <is>
          <t>Аксум</t>
        </is>
      </c>
      <c r="D402" s="3" t="inlineStr">
        <is>
          <t>Aksum University</t>
        </is>
      </c>
      <c r="E402" s="3" t="inlineStr">
        <is>
          <t>ኣክሱም ዩኒቨርሲቲ</t>
        </is>
      </c>
      <c r="F402" s="3" t="inlineStr">
        <is>
          <t>https://aku.edu.et</t>
        </is>
      </c>
      <c r="G402" s="3" t="inlineStr"/>
      <c r="H402" s="3" t="inlineStr"/>
      <c r="I402" s="3" t="inlineStr"/>
      <c r="J402" s="4" t="inlineStr">
        <is>
          <t>не в рейтинге</t>
        </is>
      </c>
      <c r="K402" s="4" t="inlineStr">
        <is>
          <t>не в рейтинге</t>
        </is>
      </c>
      <c r="L402" s="4" t="inlineStr">
        <is>
          <t>нет в опубл. списке (опубликован только топ-15 страны)</t>
        </is>
      </c>
      <c r="M402" s="4" t="inlineStr">
        <is>
          <t>нет общенационального рейтинга</t>
        </is>
      </c>
      <c r="N402" s="4" t="inlineStr">
        <is>
          <t>—</t>
        </is>
      </c>
      <c r="O402" s="4" t="n"/>
      <c r="P402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3">
      <c r="A403" s="3" t="inlineStr">
        <is>
          <t>Ethiopia|Arba Minch University</t>
        </is>
      </c>
      <c r="B403" s="3" t="inlineStr">
        <is>
          <t>Ethiopia</t>
        </is>
      </c>
      <c r="C403" s="3" t="inlineStr">
        <is>
          <t>Арба-Мынч</t>
        </is>
      </c>
      <c r="D403" s="3" t="inlineStr">
        <is>
          <t>Arba Minch University</t>
        </is>
      </c>
      <c r="E403" s="3" t="inlineStr">
        <is>
          <t>አርባ ምንጭ ዩኒቨርሲቲ</t>
        </is>
      </c>
      <c r="F403" s="3" t="inlineStr">
        <is>
          <t>https://www.amu.edu.et</t>
        </is>
      </c>
      <c r="G403" s="3" t="inlineStr"/>
      <c r="H403" s="3" t="inlineStr"/>
      <c r="I403" s="3" t="inlineStr"/>
      <c r="J403" s="4" t="inlineStr">
        <is>
          <t>не в рейтинге</t>
        </is>
      </c>
      <c r="K403" s="4" t="inlineStr">
        <is>
          <t>не в рейтинге</t>
        </is>
      </c>
      <c r="L403" s="4" t="inlineStr">
        <is>
          <t>3299</t>
        </is>
      </c>
      <c r="M403" s="4" t="inlineStr">
        <is>
          <t>нет общенационального рейтинга</t>
        </is>
      </c>
      <c r="N403" s="4" t="inlineStr">
        <is>
          <t>—</t>
        </is>
      </c>
      <c r="O403" s="4" t="inlineStr">
        <is>
          <t>https://figshare.com/articles/preprint/Ranking_Web_of_Universities_webometrics_info_July_2026_edition/33062150</t>
        </is>
      </c>
      <c r="P403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4">
      <c r="A404" s="3" t="inlineStr">
        <is>
          <t>Ethiopia|Assosa University</t>
        </is>
      </c>
      <c r="B404" s="3" t="inlineStr">
        <is>
          <t>Ethiopia</t>
        </is>
      </c>
      <c r="C404" s="3" t="inlineStr">
        <is>
          <t>Асоса</t>
        </is>
      </c>
      <c r="D404" s="3" t="inlineStr">
        <is>
          <t>Assosa University</t>
        </is>
      </c>
      <c r="E404" s="3" t="inlineStr">
        <is>
          <t>አሶሳ ዩኒቨርሲቲ</t>
        </is>
      </c>
      <c r="F404" s="3" t="inlineStr">
        <is>
          <t>https://asu.edu.et</t>
        </is>
      </c>
      <c r="G404" s="3" t="inlineStr"/>
      <c r="H404" s="3" t="inlineStr"/>
      <c r="I404" s="3" t="inlineStr"/>
      <c r="J404" s="4" t="inlineStr">
        <is>
          <t>не в рейтинге</t>
        </is>
      </c>
      <c r="K404" s="4" t="inlineStr">
        <is>
          <t>не в рейтинге</t>
        </is>
      </c>
      <c r="L404" s="4" t="inlineStr">
        <is>
          <t>нет в опубл. списке (опубликован только топ-15 страны)</t>
        </is>
      </c>
      <c r="M404" s="4" t="inlineStr">
        <is>
          <t>нет общенационального рейтинга</t>
        </is>
      </c>
      <c r="N404" s="4" t="inlineStr">
        <is>
          <t>—</t>
        </is>
      </c>
      <c r="O404" s="4" t="n"/>
      <c r="P404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5">
      <c r="A405" s="3" t="inlineStr">
        <is>
          <t>Ethiopia|Bahir Dar University</t>
        </is>
      </c>
      <c r="B405" s="3" t="inlineStr">
        <is>
          <t>Ethiopia</t>
        </is>
      </c>
      <c r="C405" s="3" t="inlineStr">
        <is>
          <t>Бахр-Дар</t>
        </is>
      </c>
      <c r="D405" s="3" t="inlineStr">
        <is>
          <t>Bahir Dar University</t>
        </is>
      </c>
      <c r="E405" s="3" t="inlineStr">
        <is>
          <t>ባሕር ዳር ዩኒቨርሲቲ</t>
        </is>
      </c>
      <c r="F405" s="3" t="inlineStr">
        <is>
          <t>https://www.bdu.edu.et</t>
        </is>
      </c>
      <c r="G405" s="3" t="inlineStr"/>
      <c r="H405" s="3" t="inlineStr"/>
      <c r="I405" s="3" t="inlineStr"/>
      <c r="J405" s="4" t="inlineStr">
        <is>
          <t>не в рейтинге</t>
        </is>
      </c>
      <c r="K405" s="4" t="inlineStr">
        <is>
          <t>не в рейтинге</t>
        </is>
      </c>
      <c r="L405" s="4" t="inlineStr">
        <is>
          <t>2237</t>
        </is>
      </c>
      <c r="M405" s="4" t="inlineStr">
        <is>
          <t>нет общенационального рейтинга</t>
        </is>
      </c>
      <c r="N405" s="4" t="inlineStr">
        <is>
          <t>—</t>
        </is>
      </c>
      <c r="O405" s="4" t="inlineStr">
        <is>
          <t>https://figshare.com/articles/preprint/Ranking_Web_of_Universities_webometrics_info_July_2026_edition/33062150</t>
        </is>
      </c>
      <c r="P405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6">
      <c r="A406" s="3" t="inlineStr">
        <is>
          <t>Ethiopia|Bule Hora University</t>
        </is>
      </c>
      <c r="B406" s="3" t="inlineStr">
        <is>
          <t>Ethiopia</t>
        </is>
      </c>
      <c r="C406" s="3" t="inlineStr">
        <is>
          <t>Буле-Хора</t>
        </is>
      </c>
      <c r="D406" s="3" t="inlineStr">
        <is>
          <t>Bule Hora University</t>
        </is>
      </c>
      <c r="E406" s="3" t="inlineStr">
        <is>
          <t>ቡሌ ሆራ ዩኒቨርሲቲ</t>
        </is>
      </c>
      <c r="F406" s="3" t="inlineStr">
        <is>
          <t>https://www.bhu.edu.et</t>
        </is>
      </c>
      <c r="G406" s="3" t="inlineStr"/>
      <c r="H406" s="3" t="inlineStr"/>
      <c r="I406" s="3" t="inlineStr"/>
      <c r="J406" s="4" t="inlineStr">
        <is>
          <t>не в рейтинге</t>
        </is>
      </c>
      <c r="K406" s="4" t="inlineStr">
        <is>
          <t>не в рейтинге</t>
        </is>
      </c>
      <c r="L406" s="4" t="inlineStr">
        <is>
          <t>нет в опубл. списке (опубликован только топ-15 страны)</t>
        </is>
      </c>
      <c r="M406" s="4" t="inlineStr">
        <is>
          <t>нет общенационального рейтинга</t>
        </is>
      </c>
      <c r="N406" s="4" t="inlineStr">
        <is>
          <t>—</t>
        </is>
      </c>
      <c r="O406" s="4" t="n"/>
      <c r="P406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7">
      <c r="A407" s="3" t="inlineStr">
        <is>
          <t>Ethiopia|Debre Berhan University</t>
        </is>
      </c>
      <c r="B407" s="3" t="inlineStr">
        <is>
          <t>Ethiopia</t>
        </is>
      </c>
      <c r="C407" s="3" t="inlineStr">
        <is>
          <t>Дэбрэ-Бырхан</t>
        </is>
      </c>
      <c r="D407" s="3" t="inlineStr">
        <is>
          <t>Debre Berhan University</t>
        </is>
      </c>
      <c r="E407" s="3" t="inlineStr">
        <is>
          <t>ደብረ ብርሃን ዩኒቨርሲቲ</t>
        </is>
      </c>
      <c r="F407" s="3" t="inlineStr">
        <is>
          <t>https://www.dbu.edu.et</t>
        </is>
      </c>
      <c r="G407" s="3" t="inlineStr"/>
      <c r="H407" s="3" t="inlineStr"/>
      <c r="I407" s="3" t="inlineStr"/>
      <c r="J407" s="4" t="inlineStr">
        <is>
          <t>не в рейтинге</t>
        </is>
      </c>
      <c r="K407" s="4" t="inlineStr">
        <is>
          <t>не в рейтинге</t>
        </is>
      </c>
      <c r="L407" s="4" t="inlineStr">
        <is>
          <t>4631</t>
        </is>
      </c>
      <c r="M407" s="4" t="inlineStr">
        <is>
          <t>нет общенационального рейтинга</t>
        </is>
      </c>
      <c r="N407" s="4" t="inlineStr">
        <is>
          <t>—</t>
        </is>
      </c>
      <c r="O407" s="4" t="inlineStr">
        <is>
          <t>https://figshare.com/articles/preprint/Ranking_Web_of_Universities_webometrics_info_July_2026_edition/33062150</t>
        </is>
      </c>
      <c r="P407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8">
      <c r="A408" s="3" t="inlineStr">
        <is>
          <t>Ethiopia|Debre Markos University</t>
        </is>
      </c>
      <c r="B408" s="3" t="inlineStr">
        <is>
          <t>Ethiopia</t>
        </is>
      </c>
      <c r="C408" s="3" t="inlineStr">
        <is>
          <t>Дэбре-Маркос</t>
        </is>
      </c>
      <c r="D408" s="3" t="inlineStr">
        <is>
          <t>Debre Markos University</t>
        </is>
      </c>
      <c r="E408" s="3" t="inlineStr">
        <is>
          <t>ደብረ ማርቆስ ዩኒቨርሲቲ</t>
        </is>
      </c>
      <c r="F408" s="3" t="inlineStr">
        <is>
          <t>https://www.dmu.edu.et</t>
        </is>
      </c>
      <c r="G408" s="3" t="inlineStr"/>
      <c r="H408" s="3" t="inlineStr"/>
      <c r="I408" s="3" t="inlineStr"/>
      <c r="J408" s="4" t="inlineStr">
        <is>
          <t>не в рейтинге</t>
        </is>
      </c>
      <c r="K408" s="4" t="inlineStr">
        <is>
          <t>не в рейтинге</t>
        </is>
      </c>
      <c r="L408" s="4" t="inlineStr">
        <is>
          <t>4866</t>
        </is>
      </c>
      <c r="M408" s="4" t="inlineStr">
        <is>
          <t>нет общенационального рейтинга</t>
        </is>
      </c>
      <c r="N408" s="4" t="inlineStr">
        <is>
          <t>—</t>
        </is>
      </c>
      <c r="O408" s="4" t="inlineStr">
        <is>
          <t>https://figshare.com/articles/preprint/Ranking_Web_of_Universities_webometrics_info_July_2026_edition/33062150</t>
        </is>
      </c>
      <c r="P408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09">
      <c r="A409" s="3" t="inlineStr">
        <is>
          <t>Ethiopia|Dilla University</t>
        </is>
      </c>
      <c r="B409" s="3" t="inlineStr">
        <is>
          <t>Ethiopia</t>
        </is>
      </c>
      <c r="C409" s="3" t="inlineStr">
        <is>
          <t>Дилла</t>
        </is>
      </c>
      <c r="D409" s="3" t="inlineStr">
        <is>
          <t>Dilla University</t>
        </is>
      </c>
      <c r="E409" s="3" t="inlineStr">
        <is>
          <t>ዲላ ዩኒቨርሲቲ</t>
        </is>
      </c>
      <c r="F409" s="3" t="inlineStr">
        <is>
          <t>https://www.du.edu.et</t>
        </is>
      </c>
      <c r="G409" s="3" t="inlineStr"/>
      <c r="H409" s="3" t="inlineStr"/>
      <c r="I409" s="3" t="inlineStr"/>
      <c r="J409" s="4" t="inlineStr">
        <is>
          <t>не в рейтинге</t>
        </is>
      </c>
      <c r="K409" s="4" t="inlineStr">
        <is>
          <t>не в рейтинге</t>
        </is>
      </c>
      <c r="L409" s="4" t="inlineStr">
        <is>
          <t>нет в опубл. списке (опубликован только топ-15 страны)</t>
        </is>
      </c>
      <c r="M409" s="4" t="inlineStr">
        <is>
          <t>нет общенационального рейтинга</t>
        </is>
      </c>
      <c r="N409" s="4" t="inlineStr">
        <is>
          <t>—</t>
        </is>
      </c>
      <c r="O409" s="4" t="n"/>
      <c r="P409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0">
      <c r="A410" s="3" t="inlineStr">
        <is>
          <t>Ethiopia|Dire Dawa University</t>
        </is>
      </c>
      <c r="B410" s="3" t="inlineStr">
        <is>
          <t>Ethiopia</t>
        </is>
      </c>
      <c r="C410" s="3" t="inlineStr">
        <is>
          <t>Дыре-Дауа</t>
        </is>
      </c>
      <c r="D410" s="3" t="inlineStr">
        <is>
          <t>Dire Dawa University</t>
        </is>
      </c>
      <c r="E410" s="3" t="inlineStr">
        <is>
          <t>ድሬዳዋ ዩኒቨርሲቲ</t>
        </is>
      </c>
      <c r="F410" s="3" t="inlineStr">
        <is>
          <t>https://www.ddu.edu.et</t>
        </is>
      </c>
      <c r="G410" s="3" t="inlineStr"/>
      <c r="H410" s="3" t="inlineStr"/>
      <c r="I410" s="3" t="inlineStr"/>
      <c r="J410" s="4" t="inlineStr">
        <is>
          <t>не в рейтинге</t>
        </is>
      </c>
      <c r="K410" s="4" t="inlineStr">
        <is>
          <t>не в рейтинге</t>
        </is>
      </c>
      <c r="L410" s="4" t="inlineStr">
        <is>
          <t>нет в опубл. списке (опубликован только топ-15 страны)</t>
        </is>
      </c>
      <c r="M410" s="4" t="inlineStr">
        <is>
          <t>нет общенационального рейтинга</t>
        </is>
      </c>
      <c r="N410" s="4" t="inlineStr">
        <is>
          <t>—</t>
        </is>
      </c>
      <c r="O410" s="4" t="n"/>
      <c r="P410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1">
      <c r="A411" s="3" t="inlineStr">
        <is>
          <t>Ethiopia|Ethiopian Aviation University</t>
        </is>
      </c>
      <c r="B411" s="3" t="inlineStr">
        <is>
          <t>Ethiopia</t>
        </is>
      </c>
      <c r="C411" s="3" t="inlineStr">
        <is>
          <t>Аддис-Абеба</t>
        </is>
      </c>
      <c r="D411" s="3" t="inlineStr">
        <is>
          <t>Ethiopian Aviation University</t>
        </is>
      </c>
      <c r="E411" s="3" t="inlineStr">
        <is>
          <t>የኢትዮጵያ አቪዬሽን ዩኒቨርሲቲ</t>
        </is>
      </c>
      <c r="F411" s="3" t="inlineStr">
        <is>
          <t>https://www.eau.edu.et</t>
        </is>
      </c>
      <c r="G411" s="3" t="inlineStr"/>
      <c r="H411" s="3" t="inlineStr"/>
      <c r="I411" s="3" t="inlineStr"/>
      <c r="J411" s="4" t="inlineStr">
        <is>
          <t>не в рейтинге</t>
        </is>
      </c>
      <c r="K411" s="4" t="inlineStr">
        <is>
          <t>не в рейтинге</t>
        </is>
      </c>
      <c r="L411" s="4" t="inlineStr">
        <is>
          <t>нет в опубл. списке (опубликован только топ-15 страны)</t>
        </is>
      </c>
      <c r="M411" s="4" t="inlineStr">
        <is>
          <t>нет общенационального рейтинга</t>
        </is>
      </c>
      <c r="N411" s="4" t="inlineStr">
        <is>
          <t>—</t>
        </is>
      </c>
      <c r="O411" s="4" t="n"/>
      <c r="P411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2">
      <c r="A412" s="3" t="inlineStr">
        <is>
          <t>Ethiopia|Haramaya University</t>
        </is>
      </c>
      <c r="B412" s="3" t="inlineStr">
        <is>
          <t>Ethiopia</t>
        </is>
      </c>
      <c r="C412" s="3" t="inlineStr">
        <is>
          <t>Харамая</t>
        </is>
      </c>
      <c r="D412" s="3" t="inlineStr">
        <is>
          <t>Haramaya University</t>
        </is>
      </c>
      <c r="E412" s="3" t="inlineStr">
        <is>
          <t>ሐረማያ ዩኒቨርሲቲ</t>
        </is>
      </c>
      <c r="F412" s="3" t="inlineStr">
        <is>
          <t>https://www.haramaya.edu.et</t>
        </is>
      </c>
      <c r="G412" s="3" t="inlineStr"/>
      <c r="H412" s="3" t="inlineStr"/>
      <c r="I412" s="3" t="inlineStr"/>
      <c r="J412" s="4" t="inlineStr">
        <is>
          <t>не в рейтинге</t>
        </is>
      </c>
      <c r="K412" s="4" t="inlineStr">
        <is>
          <t>не в рейтинге</t>
        </is>
      </c>
      <c r="L412" s="4" t="inlineStr">
        <is>
          <t>3035</t>
        </is>
      </c>
      <c r="M412" s="4" t="inlineStr">
        <is>
          <t>нет общенационального рейтинга</t>
        </is>
      </c>
      <c r="N412" s="4" t="inlineStr">
        <is>
          <t>—</t>
        </is>
      </c>
      <c r="O412" s="4" t="inlineStr">
        <is>
          <t>https://figshare.com/articles/preprint/Ranking_Web_of_Universities_webometrics_info_July_2026_edition/33062150</t>
        </is>
      </c>
      <c r="P412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3">
      <c r="A413" s="3" t="inlineStr">
        <is>
          <t>Ethiopia|Hawassa University</t>
        </is>
      </c>
      <c r="B413" s="3" t="inlineStr">
        <is>
          <t>Ethiopia</t>
        </is>
      </c>
      <c r="C413" s="3" t="inlineStr">
        <is>
          <t>Хаваса</t>
        </is>
      </c>
      <c r="D413" s="3" t="inlineStr">
        <is>
          <t>Hawassa University</t>
        </is>
      </c>
      <c r="E413" s="3" t="inlineStr">
        <is>
          <t>ሀዋሳ ዩኒቨርሲቲ</t>
        </is>
      </c>
      <c r="F413" s="3" t="inlineStr">
        <is>
          <t>https://www.hu.edu.et</t>
        </is>
      </c>
      <c r="G413" s="3" t="inlineStr"/>
      <c r="H413" s="3" t="inlineStr"/>
      <c r="I413" s="3" t="inlineStr"/>
      <c r="J413" s="4" t="inlineStr">
        <is>
          <t>не в рейтинге</t>
        </is>
      </c>
      <c r="K413" s="4" t="inlineStr">
        <is>
          <t>не в рейтинге</t>
        </is>
      </c>
      <c r="L413" s="4" t="inlineStr">
        <is>
          <t>3144</t>
        </is>
      </c>
      <c r="M413" s="4" t="inlineStr">
        <is>
          <t>нет общенационального рейтинга</t>
        </is>
      </c>
      <c r="N413" s="4" t="inlineStr">
        <is>
          <t>—</t>
        </is>
      </c>
      <c r="O413" s="4" t="inlineStr">
        <is>
          <t>https://figshare.com/articles/preprint/Ranking_Web_of_Universities_webometrics_info_July_2026_edition/33062150</t>
        </is>
      </c>
      <c r="P413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4">
      <c r="A414" s="3" t="inlineStr">
        <is>
          <t>Ethiopia|Injibara University</t>
        </is>
      </c>
      <c r="B414" s="3" t="inlineStr">
        <is>
          <t>Ethiopia</t>
        </is>
      </c>
      <c r="C414" s="3" t="inlineStr">
        <is>
          <t>Инджибара</t>
        </is>
      </c>
      <c r="D414" s="3" t="inlineStr">
        <is>
          <t>Injibara University</t>
        </is>
      </c>
      <c r="E414" s="3" t="inlineStr">
        <is>
          <t>እንጅባራ ዩኒቨርሲቲ</t>
        </is>
      </c>
      <c r="F414" s="3" t="inlineStr">
        <is>
          <t>https://www.inu.edu.et</t>
        </is>
      </c>
      <c r="G414" s="3" t="inlineStr"/>
      <c r="H414" s="3" t="inlineStr"/>
      <c r="I414" s="3" t="inlineStr"/>
      <c r="J414" s="4" t="inlineStr">
        <is>
          <t>не в рейтинге</t>
        </is>
      </c>
      <c r="K414" s="4" t="inlineStr">
        <is>
          <t>не в рейтинге</t>
        </is>
      </c>
      <c r="L414" s="4" t="inlineStr">
        <is>
          <t>нет в опубл. списке (опубликован только топ-15 страны)</t>
        </is>
      </c>
      <c r="M414" s="4" t="inlineStr">
        <is>
          <t>нет общенационального рейтинга</t>
        </is>
      </c>
      <c r="N414" s="4" t="inlineStr">
        <is>
          <t>—</t>
        </is>
      </c>
      <c r="O414" s="4" t="n"/>
      <c r="P414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5">
      <c r="A415" s="3" t="inlineStr">
        <is>
          <t>Ethiopia|Jimma University</t>
        </is>
      </c>
      <c r="B415" s="3" t="inlineStr">
        <is>
          <t>Ethiopia</t>
        </is>
      </c>
      <c r="C415" s="3" t="inlineStr">
        <is>
          <t>Джимма</t>
        </is>
      </c>
      <c r="D415" s="3" t="inlineStr">
        <is>
          <t>Jimma University</t>
        </is>
      </c>
      <c r="E415" s="3" t="inlineStr">
        <is>
          <t>ጅማ ዩኒቨርሲቲ</t>
        </is>
      </c>
      <c r="F415" s="3" t="inlineStr">
        <is>
          <t>https://ju.edu.et</t>
        </is>
      </c>
      <c r="G415" s="3" t="inlineStr"/>
      <c r="H415" s="3" t="inlineStr"/>
      <c r="I415" s="3" t="inlineStr"/>
      <c r="J415" s="4" t="inlineStr">
        <is>
          <t>не в рейтинге</t>
        </is>
      </c>
      <c r="K415" s="4" t="inlineStr">
        <is>
          <t>не в рейтинге</t>
        </is>
      </c>
      <c r="L415" s="4" t="inlineStr">
        <is>
          <t>2187</t>
        </is>
      </c>
      <c r="M415" s="4" t="inlineStr">
        <is>
          <t>нет общенационального рейтинга</t>
        </is>
      </c>
      <c r="N415" s="4" t="inlineStr">
        <is>
          <t>—</t>
        </is>
      </c>
      <c r="O415" s="4" t="inlineStr">
        <is>
          <t>https://figshare.com/articles/preprint/Ranking_Web_of_Universities_webometrics_info_July_2026_edition/33062150</t>
        </is>
      </c>
      <c r="P415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6">
      <c r="A416" s="3" t="inlineStr">
        <is>
          <t>Ethiopia|Kebri Dehar University (University of Kabridahar)</t>
        </is>
      </c>
      <c r="B416" s="3" t="inlineStr">
        <is>
          <t>Ethiopia</t>
        </is>
      </c>
      <c r="C416" s="3" t="inlineStr">
        <is>
          <t>Кэбри-Дэхар</t>
        </is>
      </c>
      <c r="D416" s="3" t="inlineStr">
        <is>
          <t>Kebri Dehar University (University of Kabridahar)</t>
        </is>
      </c>
      <c r="E416" s="3" t="inlineStr">
        <is>
          <t>Jaamacadda Qabridahar (ቀብሪ ደሃር ዩኒቨርሲቲ)</t>
        </is>
      </c>
      <c r="F416" s="3" t="inlineStr">
        <is>
          <t>https://uok.edu.et</t>
        </is>
      </c>
      <c r="G416" s="3" t="inlineStr"/>
      <c r="H416" s="3" t="inlineStr"/>
      <c r="I416" s="3" t="inlineStr"/>
      <c r="J416" s="4" t="inlineStr">
        <is>
          <t>не в рейтинге</t>
        </is>
      </c>
      <c r="K416" s="4" t="inlineStr">
        <is>
          <t>не в рейтинге</t>
        </is>
      </c>
      <c r="L416" s="4" t="inlineStr">
        <is>
          <t>нет в опубл. списке (опубликован только топ-15 страны)</t>
        </is>
      </c>
      <c r="M416" s="4" t="inlineStr">
        <is>
          <t>нет общенационального рейтинга</t>
        </is>
      </c>
      <c r="N416" s="4" t="inlineStr">
        <is>
          <t>—</t>
        </is>
      </c>
      <c r="O416" s="4" t="n"/>
      <c r="P416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7">
      <c r="A417" s="3" t="inlineStr">
        <is>
          <t>Ethiopia|Mattu University (Mettu University)</t>
        </is>
      </c>
      <c r="B417" s="3" t="inlineStr">
        <is>
          <t>Ethiopia</t>
        </is>
      </c>
      <c r="C417" s="3" t="inlineStr">
        <is>
          <t>Мэтту</t>
        </is>
      </c>
      <c r="D417" s="3" t="inlineStr">
        <is>
          <t>Mattu University (Mettu University)</t>
        </is>
      </c>
      <c r="E417" s="3" t="inlineStr">
        <is>
          <t>መቱ ዩኒቨርሲቲ</t>
        </is>
      </c>
      <c r="F417" s="3" t="inlineStr">
        <is>
          <t>https://www.meu.edu.et</t>
        </is>
      </c>
      <c r="G417" s="3" t="inlineStr"/>
      <c r="H417" s="3" t="inlineStr"/>
      <c r="I417" s="3" t="inlineStr"/>
      <c r="J417" s="4" t="inlineStr">
        <is>
          <t>не в рейтинге</t>
        </is>
      </c>
      <c r="K417" s="4" t="inlineStr">
        <is>
          <t>не в рейтинге</t>
        </is>
      </c>
      <c r="L417" s="4" t="inlineStr">
        <is>
          <t>нет в опубл. списке (опубликован только топ-15 страны)</t>
        </is>
      </c>
      <c r="M417" s="4" t="inlineStr">
        <is>
          <t>нет общенационального рейтинга</t>
        </is>
      </c>
      <c r="N417" s="4" t="inlineStr">
        <is>
          <t>—</t>
        </is>
      </c>
      <c r="O417" s="4" t="n"/>
      <c r="P417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8">
      <c r="A418" s="3" t="inlineStr">
        <is>
          <t>Ethiopia|Mekelle University</t>
        </is>
      </c>
      <c r="B418" s="3" t="inlineStr">
        <is>
          <t>Ethiopia</t>
        </is>
      </c>
      <c r="C418" s="3" t="inlineStr">
        <is>
          <t>Мэкэле</t>
        </is>
      </c>
      <c r="D418" s="3" t="inlineStr">
        <is>
          <t>Mekelle University</t>
        </is>
      </c>
      <c r="E418" s="3" t="inlineStr">
        <is>
          <t>መቐለ ዩኒቨርሲቲ</t>
        </is>
      </c>
      <c r="F418" s="3" t="inlineStr">
        <is>
          <t>https://www.mu.edu.et</t>
        </is>
      </c>
      <c r="G418" s="3" t="inlineStr"/>
      <c r="H418" s="3" t="inlineStr">
        <is>
          <t>THE2027: 1201–1400</t>
        </is>
      </c>
      <c r="I418" s="3" t="inlineStr"/>
      <c r="J418" s="4" t="inlineStr">
        <is>
          <t>не в рейтинге</t>
        </is>
      </c>
      <c r="K418" s="4" t="inlineStr">
        <is>
          <t>1201–1400</t>
        </is>
      </c>
      <c r="L418" s="4" t="inlineStr">
        <is>
          <t>3375</t>
        </is>
      </c>
      <c r="M418" s="4" t="inlineStr">
        <is>
          <t>нет общенационального рейтинга</t>
        </is>
      </c>
      <c r="N418" s="4" t="inlineStr">
        <is>
          <t>—</t>
        </is>
      </c>
      <c r="O418" s="4" t="inlineStr">
        <is>
          <t>https://www.timeshighereducation.com/world-university-rankings/2027/world-ranking
https://figshare.com/articles/preprint/Ranking_Web_of_Universities_webometrics_info_July_2026_edition/33062150</t>
        </is>
      </c>
      <c r="P418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19">
      <c r="A419" s="3" t="inlineStr">
        <is>
          <t>Ethiopia|Mizan-Tepi University</t>
        </is>
      </c>
      <c r="B419" s="3" t="inlineStr">
        <is>
          <t>Ethiopia</t>
        </is>
      </c>
      <c r="C419" s="3" t="inlineStr">
        <is>
          <t>Мизан-Аман</t>
        </is>
      </c>
      <c r="D419" s="3" t="inlineStr">
        <is>
          <t>Mizan-Tepi University</t>
        </is>
      </c>
      <c r="E419" s="3" t="inlineStr">
        <is>
          <t>ሚዛን ቴፒ ዩኒቨርሲቲ</t>
        </is>
      </c>
      <c r="F419" s="3" t="inlineStr">
        <is>
          <t>https://mtu.edu.et</t>
        </is>
      </c>
      <c r="G419" s="3" t="inlineStr"/>
      <c r="H419" s="3" t="inlineStr"/>
      <c r="I419" s="3" t="inlineStr"/>
      <c r="J419" s="4" t="inlineStr">
        <is>
          <t>не в рейтинге</t>
        </is>
      </c>
      <c r="K419" s="4" t="inlineStr">
        <is>
          <t>не в рейтинге</t>
        </is>
      </c>
      <c r="L419" s="4" t="inlineStr">
        <is>
          <t>нет в опубл. списке (опубликован только топ-15 страны)</t>
        </is>
      </c>
      <c r="M419" s="4" t="inlineStr">
        <is>
          <t>нет общенационального рейтинга</t>
        </is>
      </c>
      <c r="N419" s="4" t="inlineStr">
        <is>
          <t>—</t>
        </is>
      </c>
      <c r="O419" s="4" t="n"/>
      <c r="P419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0">
      <c r="A420" s="3" t="inlineStr">
        <is>
          <t>Ethiopia|Oda Bultum University</t>
        </is>
      </c>
      <c r="B420" s="3" t="inlineStr">
        <is>
          <t>Ethiopia</t>
        </is>
      </c>
      <c r="C420" s="3" t="inlineStr">
        <is>
          <t>Чиро</t>
        </is>
      </c>
      <c r="D420" s="3" t="inlineStr">
        <is>
          <t>Oda Bultum University</t>
        </is>
      </c>
      <c r="E420" s="3" t="inlineStr">
        <is>
          <t>Yuunivarsiitii Odaa Bultum (ኦዳ ቡልቱም ዩኒቨርሲቲ)</t>
        </is>
      </c>
      <c r="F420" s="3" t="inlineStr">
        <is>
          <t>https://obu.edu.et</t>
        </is>
      </c>
      <c r="G420" s="3" t="inlineStr"/>
      <c r="H420" s="3" t="inlineStr"/>
      <c r="I420" s="3" t="inlineStr"/>
      <c r="J420" s="4" t="inlineStr">
        <is>
          <t>не в рейтинге</t>
        </is>
      </c>
      <c r="K420" s="4" t="inlineStr">
        <is>
          <t>не в рейтинге</t>
        </is>
      </c>
      <c r="L420" s="4" t="inlineStr">
        <is>
          <t>нет в опубл. списке (опубликован только топ-15 страны)</t>
        </is>
      </c>
      <c r="M420" s="4" t="inlineStr">
        <is>
          <t>нет общенационального рейтинга</t>
        </is>
      </c>
      <c r="N420" s="4" t="inlineStr">
        <is>
          <t>—</t>
        </is>
      </c>
      <c r="O420" s="4" t="n"/>
      <c r="P420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1">
      <c r="A421" s="3" t="inlineStr">
        <is>
          <t>Ethiopia|Raya University</t>
        </is>
      </c>
      <c r="B421" s="3" t="inlineStr">
        <is>
          <t>Ethiopia</t>
        </is>
      </c>
      <c r="C421" s="3" t="inlineStr">
        <is>
          <t>Майчеу</t>
        </is>
      </c>
      <c r="D421" s="3" t="inlineStr">
        <is>
          <t>Raya University</t>
        </is>
      </c>
      <c r="E421" s="3" t="inlineStr">
        <is>
          <t>ራያ ዩኒቨርሲቲ</t>
        </is>
      </c>
      <c r="F421" s="3" t="inlineStr">
        <is>
          <t>https://www.rayu.edu.et</t>
        </is>
      </c>
      <c r="G421" s="3" t="inlineStr"/>
      <c r="H421" s="3" t="inlineStr"/>
      <c r="I421" s="3" t="inlineStr"/>
      <c r="J421" s="4" t="inlineStr">
        <is>
          <t>не в рейтинге</t>
        </is>
      </c>
      <c r="K421" s="4" t="inlineStr">
        <is>
          <t>не в рейтинге</t>
        </is>
      </c>
      <c r="L421" s="4" t="inlineStr">
        <is>
          <t>нет в опубл. списке (опубликован только топ-15 страны)</t>
        </is>
      </c>
      <c r="M421" s="4" t="inlineStr">
        <is>
          <t>нет общенационального рейтинга</t>
        </is>
      </c>
      <c r="N421" s="4" t="inlineStr">
        <is>
          <t>—</t>
        </is>
      </c>
      <c r="O421" s="4" t="n"/>
      <c r="P421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2">
      <c r="A422" s="3" t="inlineStr">
        <is>
          <t>Ethiopia|Salale University (Selale University)</t>
        </is>
      </c>
      <c r="B422" s="3" t="inlineStr">
        <is>
          <t>Ethiopia</t>
        </is>
      </c>
      <c r="C422" s="3" t="inlineStr">
        <is>
          <t>Фиче</t>
        </is>
      </c>
      <c r="D422" s="3" t="inlineStr">
        <is>
          <t>Salale University (Selale University)</t>
        </is>
      </c>
      <c r="E422" s="3" t="inlineStr">
        <is>
          <t>ሰላሌ ዩኒቨርሲቲ</t>
        </is>
      </c>
      <c r="F422" s="3" t="inlineStr">
        <is>
          <t>https://slu.edu.et</t>
        </is>
      </c>
      <c r="G422" s="3" t="inlineStr"/>
      <c r="H422" s="3" t="inlineStr"/>
      <c r="I422" s="3" t="inlineStr"/>
      <c r="J422" s="4" t="inlineStr">
        <is>
          <t>не в рейтинге</t>
        </is>
      </c>
      <c r="K422" s="4" t="inlineStr">
        <is>
          <t>не в рейтинге</t>
        </is>
      </c>
      <c r="L422" s="4" t="inlineStr">
        <is>
          <t>нет в опубл. списке (опубликован только топ-15 страны)</t>
        </is>
      </c>
      <c r="M422" s="4" t="inlineStr">
        <is>
          <t>нет общенационального рейтинга</t>
        </is>
      </c>
      <c r="N422" s="4" t="inlineStr">
        <is>
          <t>—</t>
        </is>
      </c>
      <c r="O422" s="4" t="n"/>
      <c r="P422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3">
      <c r="A423" s="3" t="inlineStr">
        <is>
          <t>Ethiopia|Samara University</t>
        </is>
      </c>
      <c r="B423" s="3" t="inlineStr">
        <is>
          <t>Ethiopia</t>
        </is>
      </c>
      <c r="C423" s="3" t="inlineStr">
        <is>
          <t>Сэмэра</t>
        </is>
      </c>
      <c r="D423" s="3" t="inlineStr">
        <is>
          <t>Samara University</t>
        </is>
      </c>
      <c r="E423" s="3" t="inlineStr">
        <is>
          <t>ሰመራ ዩኒቨርሲቲ</t>
        </is>
      </c>
      <c r="F423" s="3" t="inlineStr">
        <is>
          <t>https://su.edu.et</t>
        </is>
      </c>
      <c r="G423" s="3" t="inlineStr"/>
      <c r="H423" s="3" t="inlineStr"/>
      <c r="I423" s="3" t="inlineStr"/>
      <c r="J423" s="4" t="inlineStr">
        <is>
          <t>не в рейтинге</t>
        </is>
      </c>
      <c r="K423" s="4" t="inlineStr">
        <is>
          <t>не в рейтинге</t>
        </is>
      </c>
      <c r="L423" s="4" t="inlineStr">
        <is>
          <t>нет в опубл. списке (опубликован только топ-15 страны)</t>
        </is>
      </c>
      <c r="M423" s="4" t="inlineStr">
        <is>
          <t>нет общенационального рейтинга</t>
        </is>
      </c>
      <c r="N423" s="4" t="inlineStr">
        <is>
          <t>—</t>
        </is>
      </c>
      <c r="O423" s="4" t="n"/>
      <c r="P423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4">
      <c r="A424" s="3" t="inlineStr">
        <is>
          <t>Ethiopia|Space Science and Geospatial Institute (SSGI)</t>
        </is>
      </c>
      <c r="B424" s="3" t="inlineStr">
        <is>
          <t>Ethiopia</t>
        </is>
      </c>
      <c r="C424" s="3" t="inlineStr">
        <is>
          <t>Аддис-Абеба</t>
        </is>
      </c>
      <c r="D424" s="3" t="inlineStr">
        <is>
          <t>Space Science and Geospatial Institute (SSGI)</t>
        </is>
      </c>
      <c r="E424" s="3" t="inlineStr">
        <is>
          <t>የኅዋ ሳይንስና ጂኦስፓሻል ኢንስቲትዩት</t>
        </is>
      </c>
      <c r="F424" s="3" t="inlineStr">
        <is>
          <t>https://ssgi.gov.et</t>
        </is>
      </c>
      <c r="G424" s="3" t="inlineStr"/>
      <c r="H424" s="3" t="inlineStr"/>
      <c r="I424" s="3" t="inlineStr"/>
      <c r="J424" s="4" t="inlineStr">
        <is>
          <t>не в рейтинге</t>
        </is>
      </c>
      <c r="K424" s="4" t="inlineStr">
        <is>
          <t>не в рейтинге</t>
        </is>
      </c>
      <c r="L424" s="4" t="inlineStr">
        <is>
          <t>нет в опубл. списке (опубликован только топ-15 страны)</t>
        </is>
      </c>
      <c r="M424" s="4" t="inlineStr">
        <is>
          <t>нет общенационального рейтинга</t>
        </is>
      </c>
      <c r="N424" s="4" t="inlineStr">
        <is>
          <t>—</t>
        </is>
      </c>
      <c r="O424" s="4" t="n"/>
      <c r="P424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5">
      <c r="A425" s="3" t="inlineStr">
        <is>
          <t>Ethiopia|University of Gondar</t>
        </is>
      </c>
      <c r="B425" s="3" t="inlineStr">
        <is>
          <t>Ethiopia</t>
        </is>
      </c>
      <c r="C425" s="3" t="inlineStr">
        <is>
          <t>Гондэр</t>
        </is>
      </c>
      <c r="D425" s="3" t="inlineStr">
        <is>
          <t>University of Gondar</t>
        </is>
      </c>
      <c r="E425" s="3" t="inlineStr">
        <is>
          <t>ጎንደር ዩኒቨርሲቲ</t>
        </is>
      </c>
      <c r="F425" s="3" t="inlineStr">
        <is>
          <t>https://uog.edu.et</t>
        </is>
      </c>
      <c r="G425" s="3" t="inlineStr"/>
      <c r="H425" s="3" t="inlineStr"/>
      <c r="I425" s="3" t="inlineStr"/>
      <c r="J425" s="4" t="inlineStr">
        <is>
          <t>не в рейтинге</t>
        </is>
      </c>
      <c r="K425" s="4" t="inlineStr">
        <is>
          <t>не в рейтинге</t>
        </is>
      </c>
      <c r="L425" s="4" t="inlineStr">
        <is>
          <t>1299</t>
        </is>
      </c>
      <c r="M425" s="4" t="inlineStr">
        <is>
          <t>нет общенационального рейтинга</t>
        </is>
      </c>
      <c r="N425" s="4" t="inlineStr">
        <is>
          <t>—</t>
        </is>
      </c>
      <c r="O425" s="4" t="inlineStr">
        <is>
          <t>https://figshare.com/articles/preprint/Ranking_Web_of_Universities_webometrics_info_July_2026_edition/33062150</t>
        </is>
      </c>
      <c r="P425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6">
      <c r="A426" s="3" t="inlineStr">
        <is>
          <t>Ethiopia|Wolaita Sodo University</t>
        </is>
      </c>
      <c r="B426" s="3" t="inlineStr">
        <is>
          <t>Ethiopia</t>
        </is>
      </c>
      <c r="C426" s="3" t="inlineStr">
        <is>
          <t>Содо</t>
        </is>
      </c>
      <c r="D426" s="3" t="inlineStr">
        <is>
          <t>Wolaita Sodo University</t>
        </is>
      </c>
      <c r="E426" s="3" t="inlineStr">
        <is>
          <t>ወላይታ ሶዶ ዩኒቨርሲቲ</t>
        </is>
      </c>
      <c r="F426" s="3" t="inlineStr">
        <is>
          <t>https://www.wsu.edu.et</t>
        </is>
      </c>
      <c r="G426" s="3" t="inlineStr"/>
      <c r="H426" s="3" t="inlineStr"/>
      <c r="I426" s="3" t="inlineStr"/>
      <c r="J426" s="4" t="inlineStr">
        <is>
          <t>не в рейтинге</t>
        </is>
      </c>
      <c r="K426" s="4" t="inlineStr">
        <is>
          <t>не в рейтинге</t>
        </is>
      </c>
      <c r="L426" s="4" t="inlineStr">
        <is>
          <t>5312</t>
        </is>
      </c>
      <c r="M426" s="4" t="inlineStr">
        <is>
          <t>нет общенационального рейтинга</t>
        </is>
      </c>
      <c r="N426" s="4" t="inlineStr">
        <is>
          <t>—</t>
        </is>
      </c>
      <c r="O426" s="4" t="inlineStr">
        <is>
          <t>https://figshare.com/articles/preprint/Ranking_Web_of_Universities_webometrics_info_July_2026_edition/33062150</t>
        </is>
      </c>
      <c r="P426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7">
      <c r="A427" s="3" t="inlineStr">
        <is>
          <t>Ethiopia|Woldia University</t>
        </is>
      </c>
      <c r="B427" s="3" t="inlineStr">
        <is>
          <t>Ethiopia</t>
        </is>
      </c>
      <c r="C427" s="3" t="inlineStr">
        <is>
          <t>Уолдия</t>
        </is>
      </c>
      <c r="D427" s="3" t="inlineStr">
        <is>
          <t>Woldia University</t>
        </is>
      </c>
      <c r="E427" s="3" t="inlineStr">
        <is>
          <t>ወልዲያ ዩኒቨርሲቲ</t>
        </is>
      </c>
      <c r="F427" s="3" t="inlineStr">
        <is>
          <t>https://wldu.edu.et</t>
        </is>
      </c>
      <c r="G427" s="3" t="inlineStr"/>
      <c r="H427" s="3" t="inlineStr"/>
      <c r="I427" s="3" t="inlineStr"/>
      <c r="J427" s="4" t="inlineStr">
        <is>
          <t>не в рейтинге</t>
        </is>
      </c>
      <c r="K427" s="4" t="inlineStr">
        <is>
          <t>не в рейтинге</t>
        </is>
      </c>
      <c r="L427" s="4" t="inlineStr">
        <is>
          <t>нет в опубл. списке (опубликован только топ-15 страны)</t>
        </is>
      </c>
      <c r="M427" s="4" t="inlineStr">
        <is>
          <t>нет общенационального рейтинга</t>
        </is>
      </c>
      <c r="N427" s="4" t="inlineStr">
        <is>
          <t>—</t>
        </is>
      </c>
      <c r="O427" s="4" t="n"/>
      <c r="P427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8">
      <c r="A428" s="3" t="inlineStr">
        <is>
          <t>Ethiopia|Wolkite University</t>
        </is>
      </c>
      <c r="B428" s="3" t="inlineStr">
        <is>
          <t>Ethiopia</t>
        </is>
      </c>
      <c r="C428" s="3" t="inlineStr">
        <is>
          <t>Уолкыте</t>
        </is>
      </c>
      <c r="D428" s="3" t="inlineStr">
        <is>
          <t>Wolkite University</t>
        </is>
      </c>
      <c r="E428" s="3" t="inlineStr">
        <is>
          <t>ወልቂጤ ዩኒቨርሲቲ</t>
        </is>
      </c>
      <c r="F428" s="3" t="inlineStr">
        <is>
          <t>https://www.wku.edu.et</t>
        </is>
      </c>
      <c r="G428" s="3" t="inlineStr"/>
      <c r="H428" s="3" t="inlineStr"/>
      <c r="I428" s="3" t="inlineStr"/>
      <c r="J428" s="4" t="inlineStr">
        <is>
          <t>не в рейтинге</t>
        </is>
      </c>
      <c r="K428" s="4" t="inlineStr">
        <is>
          <t>не в рейтинге</t>
        </is>
      </c>
      <c r="L428" s="4" t="inlineStr">
        <is>
          <t>нет в опубл. списке (опубликован только топ-15 страны)</t>
        </is>
      </c>
      <c r="M428" s="4" t="inlineStr">
        <is>
          <t>нет общенационального рейтинга</t>
        </is>
      </c>
      <c r="N428" s="4" t="inlineStr">
        <is>
          <t>—</t>
        </is>
      </c>
      <c r="O428" s="4" t="n"/>
      <c r="P428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29">
      <c r="A429" s="3" t="inlineStr">
        <is>
          <t>Ethiopia|Wollega University</t>
        </is>
      </c>
      <c r="B429" s="3" t="inlineStr">
        <is>
          <t>Ethiopia</t>
        </is>
      </c>
      <c r="C429" s="3" t="inlineStr">
        <is>
          <t>Нэкэмте</t>
        </is>
      </c>
      <c r="D429" s="3" t="inlineStr">
        <is>
          <t>Wollega University</t>
        </is>
      </c>
      <c r="E429" s="3" t="inlineStr">
        <is>
          <t>ወለጋ ዩኒቨርሲቲ</t>
        </is>
      </c>
      <c r="F429" s="3" t="inlineStr">
        <is>
          <t>https://wollegauniversity.edu.et</t>
        </is>
      </c>
      <c r="G429" s="3" t="inlineStr"/>
      <c r="H429" s="3" t="inlineStr"/>
      <c r="I429" s="3" t="inlineStr"/>
      <c r="J429" s="4" t="inlineStr">
        <is>
          <t>не в рейтинге</t>
        </is>
      </c>
      <c r="K429" s="4" t="inlineStr">
        <is>
          <t>не в рейтинге</t>
        </is>
      </c>
      <c r="L429" s="4" t="inlineStr">
        <is>
          <t>нет в опубл. списке (опубликован только топ-15 страны)</t>
        </is>
      </c>
      <c r="M429" s="4" t="inlineStr">
        <is>
          <t>нет общенационального рейтинга</t>
        </is>
      </c>
      <c r="N429" s="4" t="inlineStr">
        <is>
          <t>—</t>
        </is>
      </c>
      <c r="O429" s="4" t="n"/>
      <c r="P429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30">
      <c r="A430" s="3" t="inlineStr">
        <is>
          <t>Ethiopia|Wollo University</t>
        </is>
      </c>
      <c r="B430" s="3" t="inlineStr">
        <is>
          <t>Ethiopia</t>
        </is>
      </c>
      <c r="C430" s="3" t="inlineStr">
        <is>
          <t>Дэссе</t>
        </is>
      </c>
      <c r="D430" s="3" t="inlineStr">
        <is>
          <t>Wollo University</t>
        </is>
      </c>
      <c r="E430" s="3" t="inlineStr">
        <is>
          <t>ወሎ ዩኒቨርሲቲ</t>
        </is>
      </c>
      <c r="F430" s="3" t="inlineStr">
        <is>
          <t>https://wu.edu.et</t>
        </is>
      </c>
      <c r="G430" s="3" t="inlineStr"/>
      <c r="H430" s="3" t="inlineStr"/>
      <c r="I430" s="3" t="inlineStr"/>
      <c r="J430" s="4" t="inlineStr">
        <is>
          <t>не в рейтинге</t>
        </is>
      </c>
      <c r="K430" s="4" t="inlineStr">
        <is>
          <t>не в рейтинге</t>
        </is>
      </c>
      <c r="L430" s="4" t="inlineStr">
        <is>
          <t>4470</t>
        </is>
      </c>
      <c r="M430" s="4" t="inlineStr">
        <is>
          <t>нет общенационального рейтинга</t>
        </is>
      </c>
      <c r="N430" s="4" t="inlineStr">
        <is>
          <t>—</t>
        </is>
      </c>
      <c r="O430" s="4" t="inlineStr">
        <is>
          <t>https://figshare.com/articles/preprint/Ranking_Web_of_Universities_webometrics_info_July_2026_edition/33062150</t>
        </is>
      </c>
      <c r="P430" s="4" t="inlineStr">
        <is>
          <t>Национального рейтинга с местами нет: МинОбр Эфиопии делит гос. вузы на категории (research / applied science / general), мест не публикует.</t>
        </is>
      </c>
    </row>
    <row r="431">
      <c r="A431" s="3" t="inlineStr">
        <is>
          <t>India|Acharya Nagarjuna University</t>
        </is>
      </c>
      <c r="B431" s="3" t="inlineStr">
        <is>
          <t>India</t>
        </is>
      </c>
      <c r="C431" s="3" t="inlineStr">
        <is>
          <t>Гунтур</t>
        </is>
      </c>
      <c r="D431" s="3" t="inlineStr">
        <is>
          <t>Acharya Nagarjuna University</t>
        </is>
      </c>
      <c r="E431" s="3" t="inlineStr">
        <is>
          <t>ఆచార్య నాగార్జున విశ్వవిద్యాలయం</t>
        </is>
      </c>
      <c r="F431" s="3" t="inlineStr">
        <is>
          <t>https://www.nagarjunauniversity.ac.in</t>
        </is>
      </c>
      <c r="G431" s="3" t="inlineStr"/>
      <c r="H431" s="3" t="inlineStr">
        <is>
          <t>THE2027: 1801-2000</t>
        </is>
      </c>
      <c r="I431" s="3" t="inlineStr">
        <is>
          <t>NIRF2025 University: 84</t>
        </is>
      </c>
      <c r="J431" s="4" t="inlineStr">
        <is>
          <t>не в рейтинге</t>
        </is>
      </c>
      <c r="K431" s="4" t="inlineStr">
        <is>
          <t>1801–2000</t>
        </is>
      </c>
      <c r="L431" s="4" t="inlineStr">
        <is>
          <t>нет в опубл. списке (опубликован только топ-15 страны)</t>
        </is>
      </c>
      <c r="M431" s="4" t="inlineStr">
        <is>
          <t>NIRF 2025 (Overall)</t>
        </is>
      </c>
      <c r="N431" s="4" t="inlineStr">
        <is>
          <t>101–150</t>
        </is>
      </c>
      <c r="O431" s="4" t="inlineStr">
        <is>
          <t>https://www.timeshighereducation.com/world-university-rankings/2027/world-ranking
https://www.nirfindia.org/Rankings/2025/OverallRanking150.html</t>
        </is>
      </c>
      <c r="P431" s="4" t="inlineStr">
        <is>
          <t>NIRF 2025, другие категории: University 84</t>
        </is>
      </c>
    </row>
    <row r="432">
      <c r="A432" s="3" t="inlineStr">
        <is>
          <t>India|Adani Institute of Higher Education &amp; Research (formerly Datta Meghe Institute of Higher Education and Research)</t>
        </is>
      </c>
      <c r="B432" s="3" t="inlineStr">
        <is>
          <t>India</t>
        </is>
      </c>
      <c r="C432" s="3" t="inlineStr">
        <is>
          <t>Вардха</t>
        </is>
      </c>
      <c r="D432" s="3" t="inlineStr">
        <is>
          <t>Adani Institute of Higher Education &amp; Research (formerly Datta Meghe Institute of Higher Education and Research)</t>
        </is>
      </c>
      <c r="E432" s="3" t="inlineStr"/>
      <c r="F432" s="3" t="inlineStr">
        <is>
          <t>https://aiher.edu.in</t>
        </is>
      </c>
      <c r="G432" s="3" t="inlineStr"/>
      <c r="H432" s="3" t="inlineStr"/>
      <c r="I432" s="3" t="inlineStr">
        <is>
          <t>NIRF2025 University: 49</t>
        </is>
      </c>
      <c r="J432" s="4" t="inlineStr">
        <is>
          <t>не в рейтинге</t>
        </is>
      </c>
      <c r="K432" s="4" t="inlineStr">
        <is>
          <t>1001–1200</t>
        </is>
      </c>
      <c r="L432" s="4" t="inlineStr">
        <is>
          <t>нет в опубл. списке (опубликован только топ-15 страны)</t>
        </is>
      </c>
      <c r="M432" s="4" t="inlineStr">
        <is>
          <t>NIRF 2025</t>
        </is>
      </c>
      <c r="N432" s="4" t="inlineStr">
        <is>
          <t>не в рейтинге</t>
        </is>
      </c>
      <c r="O432" s="4" t="inlineStr">
        <is>
          <t>https://www.timeshighereducation.com/world-university-rankings/2027/world-ranking
https://www.nirfindia.org/Rankings/2025/Ranking.html</t>
        </is>
      </c>
      <c r="P432" s="4" t="n"/>
    </row>
    <row r="433">
      <c r="A433" s="3" t="inlineStr">
        <is>
          <t>India|Alagappa University</t>
        </is>
      </c>
      <c r="B433" s="3" t="inlineStr">
        <is>
          <t>India</t>
        </is>
      </c>
      <c r="C433" s="3" t="inlineStr">
        <is>
          <t>Карайкуди</t>
        </is>
      </c>
      <c r="D433" s="3" t="inlineStr">
        <is>
          <t>Alagappa University</t>
        </is>
      </c>
      <c r="E433" s="3" t="inlineStr">
        <is>
          <t>அழகப்பா பல்கலைக்கழகம்</t>
        </is>
      </c>
      <c r="F433" s="3" t="inlineStr">
        <is>
          <t>https://alagappauniversity.ac.in</t>
        </is>
      </c>
      <c r="G433" s="3" t="inlineStr"/>
      <c r="H433" s="3" t="inlineStr">
        <is>
          <t>THE2027: 1001-1200</t>
        </is>
      </c>
      <c r="I433" s="3" t="inlineStr">
        <is>
          <t>NIRF2025 University: 44</t>
        </is>
      </c>
      <c r="J433" s="4" t="inlineStr">
        <is>
          <t>не в рейтинге</t>
        </is>
      </c>
      <c r="K433" s="4" t="inlineStr">
        <is>
          <t>1001–1200</t>
        </is>
      </c>
      <c r="L433" s="4" t="inlineStr">
        <is>
          <t>нет в опубл. списке (опубликован только топ-15 страны)</t>
        </is>
      </c>
      <c r="M433" s="4" t="inlineStr">
        <is>
          <t>NIRF 2025 (Overall)</t>
        </is>
      </c>
      <c r="N433" s="4" t="inlineStr">
        <is>
          <t>73</t>
        </is>
      </c>
      <c r="O433" s="4" t="inlineStr">
        <is>
          <t>https://www.timeshighereducation.com/world-university-rankings/2027/world-ranking
https://www.nirfindia.org/Rankings/2025/OverallRanking.html</t>
        </is>
      </c>
      <c r="P433" s="4" t="inlineStr">
        <is>
          <t>NIRF 2025, другие категории: University 44</t>
        </is>
      </c>
    </row>
    <row r="434">
      <c r="A434" s="3" t="inlineStr">
        <is>
          <t>India|Aligarh Muslim University</t>
        </is>
      </c>
      <c r="B434" s="3" t="inlineStr">
        <is>
          <t>India</t>
        </is>
      </c>
      <c r="C434" s="3" t="inlineStr">
        <is>
          <t>Алигарх</t>
        </is>
      </c>
      <c r="D434" s="3" t="inlineStr">
        <is>
          <t>Aligarh Muslim University</t>
        </is>
      </c>
      <c r="E434" s="3" t="inlineStr">
        <is>
          <t>علی گڑھ مسلم یونیورسٹی / अलीगढ़ मुस्लिम विश्वविद्यालय</t>
        </is>
      </c>
      <c r="F434" s="3" t="inlineStr">
        <is>
          <t>https://www.amu.ac.in</t>
        </is>
      </c>
      <c r="G434" s="3" t="inlineStr">
        <is>
          <t>QS2027: 1001-1200</t>
        </is>
      </c>
      <c r="H434" s="3" t="inlineStr">
        <is>
          <t>THE2027: 651–700</t>
        </is>
      </c>
      <c r="I434" s="3" t="inlineStr">
        <is>
          <t>NIRF2025 University: 10</t>
        </is>
      </c>
      <c r="J434" s="4" t="inlineStr">
        <is>
          <t>1001–1200</t>
        </is>
      </c>
      <c r="K434" s="4" t="inlineStr">
        <is>
          <t>651–700</t>
        </is>
      </c>
      <c r="L434" s="4" t="inlineStr">
        <is>
          <t>нет в опубл. списке (опубликован только топ-15 страны)</t>
        </is>
      </c>
      <c r="M434" s="4" t="inlineStr">
        <is>
          <t>NIRF 2025 (Overall)</t>
        </is>
      </c>
      <c r="N434" s="4" t="inlineStr">
        <is>
          <t>19</t>
        </is>
      </c>
      <c r="O434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434" s="4" t="inlineStr">
        <is>
          <t>NIRF 2025, другие категории: University 10, Engineering 34, Research 28, Medical 29, Management 69, Law 9, Architecture 26</t>
        </is>
      </c>
    </row>
    <row r="435">
      <c r="A435" s="3" t="inlineStr">
        <is>
          <t>India|Amity University (Amity University Uttar Pradesh, Noida)</t>
        </is>
      </c>
      <c r="B435" s="3" t="inlineStr">
        <is>
          <t>India</t>
        </is>
      </c>
      <c r="C435" s="3" t="inlineStr">
        <is>
          <t>Нойда</t>
        </is>
      </c>
      <c r="D435" s="3" t="inlineStr">
        <is>
          <t>Amity University (Amity University Uttar Pradesh, Noida)</t>
        </is>
      </c>
      <c r="E435" s="3" t="inlineStr"/>
      <c r="F435" s="3" t="inlineStr">
        <is>
          <t>https://www.amity.edu</t>
        </is>
      </c>
      <c r="G435" s="3" t="inlineStr">
        <is>
          <t>QS2027: 901-950</t>
        </is>
      </c>
      <c r="H435" s="3" t="inlineStr">
        <is>
          <t>THE2027: 551–600</t>
        </is>
      </c>
      <c r="I435" s="3" t="inlineStr">
        <is>
          <t>NIRF2025 University: 22</t>
        </is>
      </c>
      <c r="J435" s="4" t="inlineStr">
        <is>
          <t>901–950</t>
        </is>
      </c>
      <c r="K435" s="4" t="inlineStr">
        <is>
          <t>551–600</t>
        </is>
      </c>
      <c r="L435" s="4" t="inlineStr">
        <is>
          <t>621</t>
        </is>
      </c>
      <c r="M435" s="4" t="inlineStr">
        <is>
          <t>NIRF 2025 (Overall)</t>
        </is>
      </c>
      <c r="N435" s="4" t="inlineStr">
        <is>
          <t>37</t>
        </is>
      </c>
      <c r="O43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P435" s="4" t="inlineStr">
        <is>
          <t>THE: в таблице как «Amity University, Noida»; NIRF 2025, другие категории: University 22, University 151–200, Engineering 37, Engineering 101–150, Research 38, Management 49, Management 101–150, Pharmacy 18, Architecture 25, Agriculture 15</t>
        </is>
      </c>
    </row>
    <row r="436">
      <c r="A436" s="3" t="inlineStr">
        <is>
          <t>India|Amrita Vishwa Vidyapeetham</t>
        </is>
      </c>
      <c r="B436" s="3" t="inlineStr">
        <is>
          <t>India</t>
        </is>
      </c>
      <c r="C436" s="3" t="inlineStr">
        <is>
          <t>Коимбатур</t>
        </is>
      </c>
      <c r="D436" s="3" t="inlineStr">
        <is>
          <t>Amrita Vishwa Vidyapeetham</t>
        </is>
      </c>
      <c r="E436" s="3" t="inlineStr"/>
      <c r="F436" s="3" t="inlineStr">
        <is>
          <t>https://www.amrita.edu</t>
        </is>
      </c>
      <c r="G436" s="3" t="inlineStr">
        <is>
          <t>QS2027: 1201-1400</t>
        </is>
      </c>
      <c r="H436" s="3" t="inlineStr">
        <is>
          <t>THE2027: 651–700</t>
        </is>
      </c>
      <c r="I436" s="3" t="inlineStr">
        <is>
          <t>NIRF2025 University: 8</t>
        </is>
      </c>
      <c r="J436" s="4" t="inlineStr">
        <is>
          <t>1201–1400</t>
        </is>
      </c>
      <c r="K436" s="4" t="inlineStr">
        <is>
          <t>651–700</t>
        </is>
      </c>
      <c r="L436" s="4" t="inlineStr">
        <is>
          <t>нет в опубл. списке (опубликован только топ-15 страны)</t>
        </is>
      </c>
      <c r="M436" s="4" t="inlineStr">
        <is>
          <t>NIRF 2025 (Overall)</t>
        </is>
      </c>
      <c r="N436" s="4" t="inlineStr">
        <is>
          <t>17</t>
        </is>
      </c>
      <c r="O436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436" s="4" t="inlineStr">
        <is>
          <t>NIRF 2025, другие категории: University 8, Engineering 23, Research 31, Medical 9, Management 26, Pharmacy 14</t>
        </is>
      </c>
    </row>
    <row r="437">
      <c r="A437" s="3" t="inlineStr">
        <is>
          <t>India|Anna University</t>
        </is>
      </c>
      <c r="B437" s="3" t="inlineStr">
        <is>
          <t>India</t>
        </is>
      </c>
      <c r="C437" s="3" t="inlineStr">
        <is>
          <t>Ченнаи</t>
        </is>
      </c>
      <c r="D437" s="3" t="inlineStr">
        <is>
          <t>Anna University</t>
        </is>
      </c>
      <c r="E437" s="3" t="inlineStr">
        <is>
          <t>அண்ணா பல்கலைக்கழகம்</t>
        </is>
      </c>
      <c r="F437" s="3" t="inlineStr">
        <is>
          <t>https://www.annauniv.edu</t>
        </is>
      </c>
      <c r="G437" s="3" t="inlineStr">
        <is>
          <t>QS2027: 470</t>
        </is>
      </c>
      <c r="H437" s="3" t="inlineStr">
        <is>
          <t>THE2027: 1001–1200</t>
        </is>
      </c>
      <c r="I437" s="3" t="inlineStr">
        <is>
          <t>NIRF2025 University: 20</t>
        </is>
      </c>
      <c r="J437" s="4">
        <f>470</f>
        <v/>
      </c>
      <c r="K437" s="4" t="inlineStr">
        <is>
          <t>1001–1200</t>
        </is>
      </c>
      <c r="L437" s="4" t="inlineStr">
        <is>
          <t>нет в опубл. списке (опубликован только топ-15 страны)</t>
        </is>
      </c>
      <c r="M437" s="4" t="inlineStr">
        <is>
          <t>NIRF 2025 (Overall)</t>
        </is>
      </c>
      <c r="N437" s="4" t="inlineStr">
        <is>
          <t>29</t>
        </is>
      </c>
      <c r="O437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437" s="4" t="inlineStr">
        <is>
          <t>NIRF 2025, другие категории: University 20, Engineering 20, Research 26, Management 88, Architecture 28, Innovation 9</t>
        </is>
      </c>
    </row>
    <row r="438">
      <c r="A438" s="3" t="inlineStr">
        <is>
          <t>India|Anurag University</t>
        </is>
      </c>
      <c r="B438" s="3" t="inlineStr">
        <is>
          <t>India</t>
        </is>
      </c>
      <c r="C438" s="3" t="inlineStr">
        <is>
          <t>Хайдарабад (Венкатапур)</t>
        </is>
      </c>
      <c r="D438" s="3" t="inlineStr">
        <is>
          <t>Anurag University</t>
        </is>
      </c>
      <c r="E438" s="3" t="inlineStr">
        <is>
          <t>అనురాగ్ విశ్వవిద్యాలయం</t>
        </is>
      </c>
      <c r="F438" s="3" t="inlineStr">
        <is>
          <t>https://www.anurag.edu.in</t>
        </is>
      </c>
      <c r="G438" s="3" t="inlineStr"/>
      <c r="H438" s="3" t="inlineStr"/>
      <c r="I438" s="3" t="inlineStr">
        <is>
          <t>NIRF2025 Engineering: 101-150</t>
        </is>
      </c>
      <c r="J438" s="4" t="inlineStr">
        <is>
          <t>не в рейтинге</t>
        </is>
      </c>
      <c r="K438" s="4" t="inlineStr">
        <is>
          <t>не в рейтинге</t>
        </is>
      </c>
      <c r="L438" s="4" t="inlineStr">
        <is>
          <t>нет в опубл. списке (опубликован только топ-15 страны)</t>
        </is>
      </c>
      <c r="M438" s="4" t="inlineStr">
        <is>
          <t>NIRF 2025 (University)</t>
        </is>
      </c>
      <c r="N438" s="4" t="inlineStr">
        <is>
          <t>151–200</t>
        </is>
      </c>
      <c r="O438" s="4" t="inlineStr">
        <is>
          <t>https://www.nirfindia.org/Rankings/2025/UniversityRanking200.html</t>
        </is>
      </c>
      <c r="P438" s="4" t="inlineStr">
        <is>
          <t>NIRF 2025, другие категории: Engineering 101–150, Pharmacy 72</t>
        </is>
      </c>
    </row>
    <row r="439">
      <c r="A439" s="3" t="inlineStr">
        <is>
          <t>India|Assam University, Silchar</t>
        </is>
      </c>
      <c r="B439" s="3" t="inlineStr">
        <is>
          <t>India</t>
        </is>
      </c>
      <c r="C439" s="3" t="inlineStr">
        <is>
          <t>Силчар</t>
        </is>
      </c>
      <c r="D439" s="3" t="inlineStr">
        <is>
          <t>Assam University, Silchar</t>
        </is>
      </c>
      <c r="E439" s="3" t="inlineStr">
        <is>
          <t>আসাম বিশ্ববিদ্যালয়</t>
        </is>
      </c>
      <c r="F439" s="3" t="inlineStr">
        <is>
          <t>https://www.aus.ac.in</t>
        </is>
      </c>
      <c r="G439" s="3" t="inlineStr"/>
      <c r="H439" s="3" t="inlineStr"/>
      <c r="I439" s="3" t="inlineStr">
        <is>
          <t>NIRF2025 University: 97</t>
        </is>
      </c>
      <c r="J439" s="4" t="inlineStr">
        <is>
          <t>не в рейтинге</t>
        </is>
      </c>
      <c r="K439" s="4" t="inlineStr">
        <is>
          <t>не в рейтинге</t>
        </is>
      </c>
      <c r="L439" s="4" t="inlineStr">
        <is>
          <t>нет в опубл. списке (опубликован только топ-15 страны)</t>
        </is>
      </c>
      <c r="M439" s="4" t="inlineStr">
        <is>
          <t>NIRF 2025 (Overall)</t>
        </is>
      </c>
      <c r="N439" s="4" t="inlineStr">
        <is>
          <t>101–150</t>
        </is>
      </c>
      <c r="O439" s="4" t="inlineStr">
        <is>
          <t>https://www.nirfindia.org/Rankings/2025/OverallRanking150.html</t>
        </is>
      </c>
      <c r="P439" s="4" t="inlineStr">
        <is>
          <t>NIRF 2025, другие категории: University 97, Pharmacy 76</t>
        </is>
      </c>
    </row>
    <row r="440">
      <c r="A440" s="3" t="inlineStr">
        <is>
          <t>India|Atal Bihari Vajpayee Indian Institute of Information Technology and Management</t>
        </is>
      </c>
      <c r="B440" s="3" t="inlineStr">
        <is>
          <t>India</t>
        </is>
      </c>
      <c r="C440" s="3" t="inlineStr">
        <is>
          <t>Гвалиор</t>
        </is>
      </c>
      <c r="D440" s="3" t="inlineStr">
        <is>
          <t>Atal Bihari Vajpayee Indian Institute of Information Technology and Management</t>
        </is>
      </c>
      <c r="E440" s="3" t="inlineStr">
        <is>
          <t>अटल बिहारी वाजपेयी भारतीय सूचना प्रौद्योगिकी एवं प्रबंधन संस्थान, ग्वालियर</t>
        </is>
      </c>
      <c r="F440" s="3" t="inlineStr">
        <is>
          <t>https://www.iiitm.ac.in</t>
        </is>
      </c>
      <c r="G440" s="3" t="inlineStr"/>
      <c r="H440" s="3" t="inlineStr"/>
      <c r="I440" s="3" t="inlineStr">
        <is>
          <t>NIRF2025 Engineering: 96</t>
        </is>
      </c>
      <c r="J440" s="4" t="inlineStr">
        <is>
          <t>не в рейтинге</t>
        </is>
      </c>
      <c r="K440" s="4" t="inlineStr">
        <is>
          <t>не в рейтинге</t>
        </is>
      </c>
      <c r="L440" s="4" t="inlineStr">
        <is>
          <t>нет в опубл. списке (опубликован только топ-15 страны)</t>
        </is>
      </c>
      <c r="M440" s="4" t="inlineStr">
        <is>
          <t>NIRF 2025 (Engineering)</t>
        </is>
      </c>
      <c r="N440" s="4" t="inlineStr">
        <is>
          <t>96</t>
        </is>
      </c>
      <c r="O440" s="4" t="inlineStr">
        <is>
          <t>https://www.nirfindia.org/Rankings/2025/EngineeringRanking.html</t>
        </is>
      </c>
      <c r="P440" s="4" t="inlineStr">
        <is>
          <t>NIRF 2025, другие категории: Management 93</t>
        </is>
      </c>
    </row>
    <row r="441">
      <c r="A441" s="3" t="inlineStr">
        <is>
          <t>India|Avinashilingam Institute for Home Science &amp; Higher Education for Women</t>
        </is>
      </c>
      <c r="B441" s="3" t="inlineStr">
        <is>
          <t>India</t>
        </is>
      </c>
      <c r="C441" s="3" t="inlineStr">
        <is>
          <t>Коимбатур</t>
        </is>
      </c>
      <c r="D441" s="3" t="inlineStr">
        <is>
          <t>Avinashilingam Institute for Home Science &amp; Higher Education for Women</t>
        </is>
      </c>
      <c r="E441" s="3" t="inlineStr">
        <is>
          <t>அவினாசிலிங்கம் மனையியல் மற்றும் மகளிர் உயர்கல்வி நிறுவனம்</t>
        </is>
      </c>
      <c r="F441" s="3" t="inlineStr">
        <is>
          <t>https://avinuty.ac.in</t>
        </is>
      </c>
      <c r="G441" s="3" t="inlineStr"/>
      <c r="H441" s="3" t="inlineStr"/>
      <c r="I441" s="3" t="inlineStr">
        <is>
          <t>NIRF2025 University: 99</t>
        </is>
      </c>
      <c r="J441" s="4" t="inlineStr">
        <is>
          <t>не в рейтинге</t>
        </is>
      </c>
      <c r="K441" s="4" t="inlineStr">
        <is>
          <t>не в рейтинге</t>
        </is>
      </c>
      <c r="L441" s="4" t="inlineStr">
        <is>
          <t>нет в опубл. списке (опубликован только топ-15 страны)</t>
        </is>
      </c>
      <c r="M441" s="4" t="inlineStr">
        <is>
          <t>NIRF 2025 (Overall)</t>
        </is>
      </c>
      <c r="N441" s="4" t="inlineStr">
        <is>
          <t>151–200</t>
        </is>
      </c>
      <c r="O441" s="4" t="inlineStr">
        <is>
          <t>https://www.nirfindia.org/Rankings/2025/OverallRanking200.html</t>
        </is>
      </c>
      <c r="P441" s="4" t="inlineStr">
        <is>
          <t>NIRF 2025, другие категории: University 99</t>
        </is>
      </c>
    </row>
    <row r="442">
      <c r="A442" s="3" t="inlineStr">
        <is>
          <t>India|Babasaheb Bhimrao Ambedkar University (BBAU), Lucknow</t>
        </is>
      </c>
      <c r="B442" s="3" t="inlineStr">
        <is>
          <t>India</t>
        </is>
      </c>
      <c r="C442" s="3" t="inlineStr">
        <is>
          <t>Лакхнау</t>
        </is>
      </c>
      <c r="D442" s="3" t="inlineStr">
        <is>
          <t>Babasaheb Bhimrao Ambedkar University (BBAU), Lucknow</t>
        </is>
      </c>
      <c r="E442" s="3" t="inlineStr">
        <is>
          <t>बाबासाहेब भीमराव अम्बेडकर विश्वविद्यालय</t>
        </is>
      </c>
      <c r="F442" s="3" t="inlineStr">
        <is>
          <t>https://www.bbau.ac.in</t>
        </is>
      </c>
      <c r="G442" s="3" t="inlineStr"/>
      <c r="H442" s="3" t="inlineStr"/>
      <c r="I442" s="3" t="inlineStr">
        <is>
          <t>NIRF2025 University: 37</t>
        </is>
      </c>
      <c r="J442" s="4" t="inlineStr">
        <is>
          <t>не в рейтинге</t>
        </is>
      </c>
      <c r="K442" s="4" t="inlineStr">
        <is>
          <t>не в рейтинге</t>
        </is>
      </c>
      <c r="L442" s="4" t="inlineStr">
        <is>
          <t>нет в опубл. списке (опубликован только топ-15 страны)</t>
        </is>
      </c>
      <c r="M442" s="4" t="inlineStr">
        <is>
          <t>NIRF 2025 (Overall)</t>
        </is>
      </c>
      <c r="N442" s="4" t="inlineStr">
        <is>
          <t>69</t>
        </is>
      </c>
      <c r="O442" s="4" t="inlineStr">
        <is>
          <t>https://www.nirfindia.org/Rankings/2025/OverallRanking.html</t>
        </is>
      </c>
      <c r="P442" s="4" t="inlineStr">
        <is>
          <t>NIRF 2025, другие категории: University 37, Management 79, Pharmacy 23, Law 12, Agriculture 21</t>
        </is>
      </c>
    </row>
    <row r="443">
      <c r="A443" s="3" t="inlineStr">
        <is>
          <t>India|Banaras Hindu University</t>
        </is>
      </c>
      <c r="B443" s="3" t="inlineStr">
        <is>
          <t>India</t>
        </is>
      </c>
      <c r="C443" s="3" t="inlineStr">
        <is>
          <t>Варанаси</t>
        </is>
      </c>
      <c r="D443" s="3" t="inlineStr">
        <is>
          <t>Banaras Hindu University</t>
        </is>
      </c>
      <c r="E443" s="3" t="inlineStr">
        <is>
          <t>काशी हिन्दू विश्वविद्यालय</t>
        </is>
      </c>
      <c r="F443" s="3" t="inlineStr">
        <is>
          <t>https://www.bhu.ac.in</t>
        </is>
      </c>
      <c r="G443" s="3" t="inlineStr">
        <is>
          <t>QS2027: 957</t>
        </is>
      </c>
      <c r="H443" s="3" t="inlineStr">
        <is>
          <t>THE2027: 551–600</t>
        </is>
      </c>
      <c r="I443" s="3" t="inlineStr">
        <is>
          <t>NIRF2025 University: 6</t>
        </is>
      </c>
      <c r="J443" s="4" t="inlineStr">
        <is>
          <t>951–1000</t>
        </is>
      </c>
      <c r="K443" s="4" t="inlineStr">
        <is>
          <t>551–600</t>
        </is>
      </c>
      <c r="L443" s="4" t="inlineStr">
        <is>
          <t>нет в опубл. списке (опубликован только топ-15 страны)</t>
        </is>
      </c>
      <c r="M443" s="4" t="inlineStr">
        <is>
          <t>NIRF 2025 (Overall)</t>
        </is>
      </c>
      <c r="N443" s="4" t="inlineStr">
        <is>
          <t>10</t>
        </is>
      </c>
      <c r="O443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443" s="4" t="inlineStr">
        <is>
          <t>QS: в столбце G было 957, в таблице QS 2027 сейчас 951-1000; NIRF 2025, другие категории: University 6, Research 16, Medical 6, Management 60, Agriculture 4</t>
        </is>
      </c>
    </row>
    <row r="444">
      <c r="A444" s="3" t="inlineStr">
        <is>
          <t>India|Bansilal Ramnath Agarwal Charitable Trust`s Vishwakarama Institute of Technology</t>
        </is>
      </c>
      <c r="B444" s="3" t="inlineStr">
        <is>
          <t>India</t>
        </is>
      </c>
      <c r="C444" s="3" t="inlineStr">
        <is>
          <t>Пуне</t>
        </is>
      </c>
      <c r="D444" s="3" t="inlineStr">
        <is>
          <t>Bansilal Ramnath Agarwal Charitable Trust`s Vishwakarama Institute of Technology</t>
        </is>
      </c>
      <c r="E444" s="3" t="inlineStr">
        <is>
          <t>Vishwakarma Institute of Technology, Pune (VIT Pune; Bansilal Ramnath Agarwal Charitable Trust)</t>
        </is>
      </c>
      <c r="F444" s="3" t="inlineStr">
        <is>
          <t>https://www.vit.edu</t>
        </is>
      </c>
      <c r="G444" s="3" t="inlineStr"/>
      <c r="H444" s="3" t="inlineStr"/>
      <c r="I444" s="3" t="inlineStr">
        <is>
          <t>NIRF2025 Engineering: 101-150</t>
        </is>
      </c>
      <c r="J444" s="4" t="inlineStr">
        <is>
          <t>не в рейтинге</t>
        </is>
      </c>
      <c r="K444" s="4" t="inlineStr">
        <is>
          <t>не в рейтинге</t>
        </is>
      </c>
      <c r="L444" s="4" t="inlineStr">
        <is>
          <t>нет в опубл. списке (опубликован только топ-15 страны)</t>
        </is>
      </c>
      <c r="M444" s="4" t="inlineStr">
        <is>
          <t>NIRF 2025 (Engineering)</t>
        </is>
      </c>
      <c r="N444" s="4" t="inlineStr">
        <is>
          <t>101–150</t>
        </is>
      </c>
      <c r="O444" s="4" t="inlineStr">
        <is>
          <t>https://www.nirfindia.org/Rankings/2025/EngineeringRanking150.html</t>
        </is>
      </c>
      <c r="P444" s="4" t="n"/>
    </row>
    <row r="445">
      <c r="A445" s="3" t="inlineStr">
        <is>
          <t>India|Bharath Institute of Higher Education and Research</t>
        </is>
      </c>
      <c r="B445" s="3" t="inlineStr">
        <is>
          <t>India</t>
        </is>
      </c>
      <c r="C445" s="3" t="inlineStr">
        <is>
          <t>Ченнаи</t>
        </is>
      </c>
      <c r="D445" s="3" t="inlineStr">
        <is>
          <t>Bharath Institute of Higher Education and Research</t>
        </is>
      </c>
      <c r="E445" s="3" t="inlineStr">
        <is>
          <t>Bharath Institute of Higher Education and Research (Deemed to be University)</t>
        </is>
      </c>
      <c r="F445" s="3" t="inlineStr">
        <is>
          <t>https://www.bharathuniv.ac.in</t>
        </is>
      </c>
      <c r="G445" s="3" t="inlineStr"/>
      <c r="H445" s="3" t="inlineStr">
        <is>
          <t>THE2027: 2001+</t>
        </is>
      </c>
      <c r="I445" s="3" t="inlineStr">
        <is>
          <t>NIRF2025 University: 76</t>
        </is>
      </c>
      <c r="J445" s="4" t="inlineStr">
        <is>
          <t>не в рейтинге</t>
        </is>
      </c>
      <c r="K445" s="4" t="inlineStr">
        <is>
          <t>2001+</t>
        </is>
      </c>
      <c r="L445" s="4" t="inlineStr">
        <is>
          <t>нет в опубл. списке (опубликован только топ-15 страны)</t>
        </is>
      </c>
      <c r="M445" s="4" t="inlineStr">
        <is>
          <t>NIRF 2025 (Overall)</t>
        </is>
      </c>
      <c r="N445" s="4" t="inlineStr">
        <is>
          <t>90</t>
        </is>
      </c>
      <c r="O445" s="4" t="inlineStr">
        <is>
          <t>https://www.timeshighereducation.com/world-university-rankings/2027/world-ranking
https://www.nirfindia.org/Rankings/2025/OverallRanking.html</t>
        </is>
      </c>
      <c r="P445" s="4" t="inlineStr">
        <is>
          <t>NIRF 2025, другие категории: University 76</t>
        </is>
      </c>
    </row>
    <row r="446">
      <c r="A446" s="3" t="inlineStr">
        <is>
          <t>India|Bharathiar University</t>
        </is>
      </c>
      <c r="B446" s="3" t="inlineStr">
        <is>
          <t>India</t>
        </is>
      </c>
      <c r="C446" s="3" t="inlineStr">
        <is>
          <t>Коимбатур</t>
        </is>
      </c>
      <c r="D446" s="3" t="inlineStr">
        <is>
          <t>Bharathiar University</t>
        </is>
      </c>
      <c r="E446" s="3" t="inlineStr">
        <is>
          <t>பாரதியார் பல்கலைக்கழகம்</t>
        </is>
      </c>
      <c r="F446" s="3" t="inlineStr">
        <is>
          <t>https://b-u.ac.in</t>
        </is>
      </c>
      <c r="G446" s="3" t="inlineStr">
        <is>
          <t>QS2027: 711-720</t>
        </is>
      </c>
      <c r="H446" s="3" t="inlineStr">
        <is>
          <t>THE2027: 801–1000</t>
        </is>
      </c>
      <c r="I446" s="3" t="inlineStr">
        <is>
          <t>NIRF2025 University: 46</t>
        </is>
      </c>
      <c r="J446" s="4" t="inlineStr">
        <is>
          <t>711–720</t>
        </is>
      </c>
      <c r="K446" s="4" t="inlineStr">
        <is>
          <t>801–1000</t>
        </is>
      </c>
      <c r="L446" s="4" t="inlineStr">
        <is>
          <t>нет в опубл. списке (опубликован только топ-15 страны)</t>
        </is>
      </c>
      <c r="M446" s="4" t="inlineStr">
        <is>
          <t>NIRF 2025 (Overall)</t>
        </is>
      </c>
      <c r="N446" s="4" t="inlineStr">
        <is>
          <t>76</t>
        </is>
      </c>
      <c r="O446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446" s="4" t="inlineStr">
        <is>
          <t>NIRF 2025, другие категории: University 46</t>
        </is>
      </c>
    </row>
    <row r="447">
      <c r="A447" s="3" t="inlineStr">
        <is>
          <t>India|Birla Institute of Technology and Science, Pilani</t>
        </is>
      </c>
      <c r="B447" s="3" t="inlineStr">
        <is>
          <t>India</t>
        </is>
      </c>
      <c r="C447" s="3" t="inlineStr">
        <is>
          <t>Пилани</t>
        </is>
      </c>
      <c r="D447" s="3" t="inlineStr">
        <is>
          <t>Birla Institute of Technology and Science, Pilani</t>
        </is>
      </c>
      <c r="E447" s="3" t="inlineStr">
        <is>
          <t>बिड़ला प्रौद्योगिकी एवं विज्ञान संस्थान, पिलानी</t>
        </is>
      </c>
      <c r="F447" s="3" t="inlineStr">
        <is>
          <t>https://www.bits-pilani.ac.in</t>
        </is>
      </c>
      <c r="G447" s="3" t="inlineStr">
        <is>
          <t>QS2027: 575</t>
        </is>
      </c>
      <c r="H447" s="3" t="inlineStr"/>
      <c r="I447" s="3" t="inlineStr">
        <is>
          <t>NIRF2025 University: 7</t>
        </is>
      </c>
      <c r="J447" s="4">
        <f>575</f>
        <v/>
      </c>
      <c r="K447" s="4" t="inlineStr">
        <is>
          <t>не в рейтинге</t>
        </is>
      </c>
      <c r="L447" s="4" t="inlineStr">
        <is>
          <t>нет в опубл. списке (опубликован только топ-15 страны)</t>
        </is>
      </c>
      <c r="M447" s="4" t="inlineStr">
        <is>
          <t>NIRF 2025 (Overall)</t>
        </is>
      </c>
      <c r="N447" s="4" t="inlineStr">
        <is>
          <t>16</t>
        </is>
      </c>
      <c r="O447" s="4" t="inlineStr">
        <is>
          <t>https://www.topuniversities.com/world-university-rankings (QS WUR 2027)
https://www.nirfindia.org/Rankings/2025/OverallRanking.html</t>
        </is>
      </c>
      <c r="P447" s="4" t="inlineStr">
        <is>
          <t>NIRF 2025, другие категории: University 7, Engineering 11, Research 18, Pharmacy 2</t>
        </is>
      </c>
    </row>
    <row r="448">
      <c r="A448" s="3" t="inlineStr">
        <is>
          <t>India|Birla Institute of Technology, Mesra</t>
        </is>
      </c>
      <c r="B448" s="3" t="inlineStr">
        <is>
          <t>India</t>
        </is>
      </c>
      <c r="C448" s="3" t="inlineStr">
        <is>
          <t>Ранчи</t>
        </is>
      </c>
      <c r="D448" s="3" t="inlineStr">
        <is>
          <t>Birla Institute of Technology, Mesra</t>
        </is>
      </c>
      <c r="E448" s="3" t="inlineStr">
        <is>
          <t>बिड़ला प्रौद्योगिकी संस्थान, मेसरा</t>
        </is>
      </c>
      <c r="F448" s="3" t="inlineStr">
        <is>
          <t>https://www.bitmesra.ac.in</t>
        </is>
      </c>
      <c r="G448" s="3" t="inlineStr"/>
      <c r="H448" s="3" t="inlineStr">
        <is>
          <t>THE2027: 1201–1400</t>
        </is>
      </c>
      <c r="I448" s="3" t="inlineStr">
        <is>
          <t>NIRF2025 Engineering: 51</t>
        </is>
      </c>
      <c r="J448" s="4" t="inlineStr">
        <is>
          <t>не в рейтинге</t>
        </is>
      </c>
      <c r="K448" s="4" t="inlineStr">
        <is>
          <t>1201–1400</t>
        </is>
      </c>
      <c r="L448" s="4" t="inlineStr">
        <is>
          <t>нет в опубл. списке (опубликован только топ-15 страны)</t>
        </is>
      </c>
      <c r="M448" s="4" t="inlineStr">
        <is>
          <t>NIRF 2025 (Overall)</t>
        </is>
      </c>
      <c r="N448" s="4" t="inlineStr">
        <is>
          <t>101–150</t>
        </is>
      </c>
      <c r="O448" s="4" t="inlineStr">
        <is>
          <t>https://www.timeshighereducation.com/world-university-rankings/2027/world-ranking
https://www.nirfindia.org/Rankings/2025/OverallRanking150.html</t>
        </is>
      </c>
      <c r="P448" s="4" t="inlineStr">
        <is>
          <t>THE: в таблице как «Birla Institute of Technology»; NIRF 2025, другие категории: University 92, Engineering 51, Management 97, Pharmacy 28, Architecture 22</t>
        </is>
      </c>
    </row>
    <row r="449">
      <c r="A449" s="3" t="inlineStr">
        <is>
          <t>India|C.V. Raman Global University, Odisha</t>
        </is>
      </c>
      <c r="B449" s="3" t="inlineStr">
        <is>
          <t>India</t>
        </is>
      </c>
      <c r="C449" s="3" t="inlineStr">
        <is>
          <t>Бхубанешвар</t>
        </is>
      </c>
      <c r="D449" s="3" t="inlineStr">
        <is>
          <t>C.V. Raman Global University, Odisha</t>
        </is>
      </c>
      <c r="E449" s="3" t="inlineStr">
        <is>
          <t>C.V. Raman Global University, Odisha (CGU), ସି.ଭି. ରମଣ ଗ୍ଲୋବାଲ ବିଶ୍ୱବିଦ୍ୟାଳୟ</t>
        </is>
      </c>
      <c r="F449" s="3" t="inlineStr">
        <is>
          <t>https://cgu-odisha.ac.in</t>
        </is>
      </c>
      <c r="G449" s="3" t="inlineStr"/>
      <c r="H449" s="3" t="inlineStr"/>
      <c r="I449" s="3" t="inlineStr">
        <is>
          <t>NIRF2025 Engineering: 95</t>
        </is>
      </c>
      <c r="J449" s="4" t="inlineStr">
        <is>
          <t>не в рейтинге</t>
        </is>
      </c>
      <c r="K449" s="4" t="inlineStr">
        <is>
          <t>не в рейтинге</t>
        </is>
      </c>
      <c r="L449" s="4" t="inlineStr">
        <is>
          <t>нет в опубл. списке (опубликован только топ-15 страны)</t>
        </is>
      </c>
      <c r="M449" s="4" t="inlineStr">
        <is>
          <t>NIRF 2025 (Overall)</t>
        </is>
      </c>
      <c r="N449" s="4" t="inlineStr">
        <is>
          <t>151–200</t>
        </is>
      </c>
      <c r="O449" s="4" t="inlineStr">
        <is>
          <t>https://www.nirfindia.org/Rankings/2025/OverallRanking200.html</t>
        </is>
      </c>
      <c r="P449" s="4" t="inlineStr">
        <is>
          <t>NIRF 2025, другие категории: University 101–150, Engineering 95</t>
        </is>
      </c>
    </row>
    <row r="450">
      <c r="A450" s="3" t="inlineStr">
        <is>
          <t>India|CHRIST (Deemed to be University)</t>
        </is>
      </c>
      <c r="B450" s="3" t="inlineStr">
        <is>
          <t>India</t>
        </is>
      </c>
      <c r="C450" s="3" t="inlineStr">
        <is>
          <t>Бангалор</t>
        </is>
      </c>
      <c r="D450" s="3" t="inlineStr">
        <is>
          <t>CHRIST (Deemed to be University)</t>
        </is>
      </c>
      <c r="E450" s="3" t="inlineStr">
        <is>
          <t>ಕ್ರೈಸ್ಟ್ ವಿಶ್ವವಿದ್ಯಾಲಯ</t>
        </is>
      </c>
      <c r="F450" s="3" t="inlineStr">
        <is>
          <t>https://christuniversity.in</t>
        </is>
      </c>
      <c r="G450" s="3" t="inlineStr"/>
      <c r="H450" s="3" t="inlineStr">
        <is>
          <t>THE2027: 1201–1400</t>
        </is>
      </c>
      <c r="I450" s="3" t="inlineStr">
        <is>
          <t>NIRF2025 University: 63</t>
        </is>
      </c>
      <c r="J450" s="4" t="inlineStr">
        <is>
          <t>не в рейтинге</t>
        </is>
      </c>
      <c r="K450" s="4" t="inlineStr">
        <is>
          <t>1201–1400</t>
        </is>
      </c>
      <c r="L450" s="4" t="inlineStr">
        <is>
          <t>нет в опубл. списке (опубликован только топ-15 страны)</t>
        </is>
      </c>
      <c r="M450" s="4" t="inlineStr">
        <is>
          <t>NIRF 2025 (Overall)</t>
        </is>
      </c>
      <c r="N450" s="4" t="inlineStr">
        <is>
          <t>96</t>
        </is>
      </c>
      <c r="O450" s="4" t="inlineStr">
        <is>
          <t>https://www.timeshighereducation.com/world-university-rankings/2027/world-ranking
https://www.nirfindia.org/Rankings/2025/OverallRanking.html</t>
        </is>
      </c>
      <c r="P450" s="4" t="inlineStr">
        <is>
          <t>THE: в таблице как «Christ University»; NIRF 2025, другие категории: University 63, Engineering 76, Management 57, Law 24, Architecture 34</t>
        </is>
      </c>
    </row>
    <row r="451">
      <c r="A451" s="3" t="inlineStr">
        <is>
          <t>India|COEP Technological University</t>
        </is>
      </c>
      <c r="B451" s="3" t="inlineStr">
        <is>
          <t>India</t>
        </is>
      </c>
      <c r="C451" s="3" t="inlineStr">
        <is>
          <t>Пуна</t>
        </is>
      </c>
      <c r="D451" s="3" t="inlineStr">
        <is>
          <t>COEP Technological University</t>
        </is>
      </c>
      <c r="E451" s="3" t="inlineStr"/>
      <c r="F451" s="3" t="inlineStr">
        <is>
          <t>https://www.coeptech.ac.in</t>
        </is>
      </c>
      <c r="G451" s="3" t="inlineStr"/>
      <c r="H451" s="3" t="inlineStr"/>
      <c r="I451" s="3" t="inlineStr">
        <is>
          <t>NIRF2025 Engineering: 90</t>
        </is>
      </c>
      <c r="J451" s="4" t="inlineStr">
        <is>
          <t>не в рейтинге</t>
        </is>
      </c>
      <c r="K451" s="4" t="inlineStr">
        <is>
          <t>не в рейтинге</t>
        </is>
      </c>
      <c r="L451" s="4" t="inlineStr">
        <is>
          <t>нет в опубл. списке (опубликован только топ-15 страны)</t>
        </is>
      </c>
      <c r="M451" s="4" t="inlineStr">
        <is>
          <t>NIRF 2025 (University)</t>
        </is>
      </c>
      <c r="N451" s="4" t="inlineStr">
        <is>
          <t>151–200</t>
        </is>
      </c>
      <c r="O451" s="4" t="inlineStr">
        <is>
          <t>https://www.nirfindia.org/Rankings/2025/UniversityRanking200.html</t>
        </is>
      </c>
      <c r="P451" s="4" t="inlineStr">
        <is>
          <t>NIRF 2025, другие категории: Engineering 90</t>
        </is>
      </c>
    </row>
    <row r="452">
      <c r="A452" s="3" t="inlineStr">
        <is>
          <t>India|Central University of Punjab</t>
        </is>
      </c>
      <c r="B452" s="3" t="inlineStr">
        <is>
          <t>India</t>
        </is>
      </c>
      <c r="C452" s="3" t="inlineStr">
        <is>
          <t>Бхатинда</t>
        </is>
      </c>
      <c r="D452" s="3" t="inlineStr">
        <is>
          <t>Central University of Punjab</t>
        </is>
      </c>
      <c r="E452" s="3" t="inlineStr">
        <is>
          <t>ਪੰਜਾਬ ਕੇਂਦਰੀ ਯੂਨੀਵਰਸਿਟੀ</t>
        </is>
      </c>
      <c r="F452" s="3" t="inlineStr">
        <is>
          <t>https://cup.edu.in</t>
        </is>
      </c>
      <c r="G452" s="3" t="inlineStr"/>
      <c r="H452" s="3" t="inlineStr">
        <is>
          <t>THE2027: 701–800</t>
        </is>
      </c>
      <c r="I452" s="3" t="inlineStr">
        <is>
          <t>NIRF2025 University: 77</t>
        </is>
      </c>
      <c r="J452" s="4" t="inlineStr">
        <is>
          <t>не в рейтинге</t>
        </is>
      </c>
      <c r="K452" s="4" t="inlineStr">
        <is>
          <t>701–800</t>
        </is>
      </c>
      <c r="L452" s="4" t="inlineStr">
        <is>
          <t>нет в опубл. списке (опубликован только топ-15 страны)</t>
        </is>
      </c>
      <c r="M452" s="4" t="inlineStr">
        <is>
          <t>NIRF 2025 (Overall)</t>
        </is>
      </c>
      <c r="N452" s="4" t="inlineStr">
        <is>
          <t>101–150</t>
        </is>
      </c>
      <c r="O452" s="4" t="inlineStr">
        <is>
          <t>https://www.timeshighereducation.com/world-university-rankings/2027/world-ranking
https://www.nirfindia.org/Rankings/2025/OverallRanking150.html</t>
        </is>
      </c>
      <c r="P452" s="4" t="inlineStr">
        <is>
          <t>NIRF 2025, другие категории: University 77, Pharmacy 20, Law 40</t>
        </is>
      </c>
    </row>
    <row r="453">
      <c r="A453" s="3" t="inlineStr">
        <is>
          <t>India|Central University of Rajasthan</t>
        </is>
      </c>
      <c r="B453" s="3" t="inlineStr">
        <is>
          <t>India</t>
        </is>
      </c>
      <c r="C453" s="3" t="inlineStr">
        <is>
          <t>Кишангарх</t>
        </is>
      </c>
      <c r="D453" s="3" t="inlineStr">
        <is>
          <t>Central University of Rajasthan</t>
        </is>
      </c>
      <c r="E453" s="3" t="inlineStr">
        <is>
          <t>राजस्थान केन्द्रीय विश्वविद्यालय</t>
        </is>
      </c>
      <c r="F453" s="3" t="inlineStr">
        <is>
          <t>https://www.curaj.ac.in</t>
        </is>
      </c>
      <c r="G453" s="3" t="inlineStr"/>
      <c r="H453" s="3" t="inlineStr"/>
      <c r="I453" s="3" t="inlineStr">
        <is>
          <t>NIRF2025 University: 89</t>
        </is>
      </c>
      <c r="J453" s="4" t="inlineStr">
        <is>
          <t>не в рейтинге</t>
        </is>
      </c>
      <c r="K453" s="4" t="inlineStr">
        <is>
          <t>не в рейтинге</t>
        </is>
      </c>
      <c r="L453" s="4" t="inlineStr">
        <is>
          <t>нет в опубл. списке (опубликован только топ-15 страны)</t>
        </is>
      </c>
      <c r="M453" s="4" t="inlineStr">
        <is>
          <t>NIRF 2025 (Overall)</t>
        </is>
      </c>
      <c r="N453" s="4" t="inlineStr">
        <is>
          <t>101–150</t>
        </is>
      </c>
      <c r="O453" s="4" t="inlineStr">
        <is>
          <t>https://www.nirfindia.org/Rankings/2025/OverallRanking150.html</t>
        </is>
      </c>
      <c r="P453" s="4" t="inlineStr">
        <is>
          <t>NIRF 2025, другие категории: University 89, Pharmacy 27</t>
        </is>
      </c>
    </row>
    <row r="454">
      <c r="A454" s="3" t="inlineStr">
        <is>
          <t>India|Central University of Tamil Nadu (CUTN)</t>
        </is>
      </c>
      <c r="B454" s="3" t="inlineStr">
        <is>
          <t>India</t>
        </is>
      </c>
      <c r="C454" s="3" t="inlineStr">
        <is>
          <t>Тируварур</t>
        </is>
      </c>
      <c r="D454" s="3" t="inlineStr">
        <is>
          <t>Central University of Tamil Nadu (CUTN)</t>
        </is>
      </c>
      <c r="E454" s="3" t="inlineStr">
        <is>
          <t>தமிழ்நாடு மத்தியப் பல்கலைக்கழகம்</t>
        </is>
      </c>
      <c r="F454" s="3" t="inlineStr">
        <is>
          <t>https://cutn.ac.in</t>
        </is>
      </c>
      <c r="G454" s="3" t="inlineStr"/>
      <c r="H454" s="3" t="inlineStr"/>
      <c r="I454" s="3" t="inlineStr">
        <is>
          <t>NIRF2025 University: 83</t>
        </is>
      </c>
      <c r="J454" s="4" t="inlineStr">
        <is>
          <t>не в рейтинге</t>
        </is>
      </c>
      <c r="K454" s="4" t="inlineStr">
        <is>
          <t>не в рейтинге</t>
        </is>
      </c>
      <c r="L454" s="4" t="inlineStr">
        <is>
          <t>нет в опубл. списке (опубликован только топ-15 страны)</t>
        </is>
      </c>
      <c r="M454" s="4" t="inlineStr">
        <is>
          <t>NIRF 2025 (Overall)</t>
        </is>
      </c>
      <c r="N454" s="4" t="inlineStr">
        <is>
          <t>101–150</t>
        </is>
      </c>
      <c r="O454" s="4" t="inlineStr">
        <is>
          <t>https://www.nirfindia.org/Rankings/2025/OverallRanking150.html</t>
        </is>
      </c>
      <c r="P454" s="4" t="inlineStr">
        <is>
          <t>NIRF 2025, другие категории: University 83</t>
        </is>
      </c>
    </row>
    <row r="455">
      <c r="A455" s="3" t="inlineStr">
        <is>
          <t>India|Chandigarh Engineering College – CGC Landran, Mohali</t>
        </is>
      </c>
      <c r="B455" s="3" t="inlineStr">
        <is>
          <t>India</t>
        </is>
      </c>
      <c r="C455" s="3" t="inlineStr">
        <is>
          <t>Мохали (Ландран)</t>
        </is>
      </c>
      <c r="D455" s="3" t="inlineStr">
        <is>
          <t>Chandigarh Engineering College – CGC Landran, Mohali</t>
        </is>
      </c>
      <c r="E455" s="3" t="inlineStr"/>
      <c r="F455" s="3" t="inlineStr">
        <is>
          <t>https://www.cecmohali.org</t>
        </is>
      </c>
      <c r="G455" s="3" t="inlineStr"/>
      <c r="H455" s="3" t="inlineStr"/>
      <c r="I455" s="3" t="inlineStr">
        <is>
          <t>NIRF2025 Engineering: 101-150</t>
        </is>
      </c>
      <c r="J455" s="4" t="inlineStr">
        <is>
          <t>не в рейтинге</t>
        </is>
      </c>
      <c r="K455" s="4" t="inlineStr">
        <is>
          <t>не в рейтинге</t>
        </is>
      </c>
      <c r="L455" s="4" t="inlineStr">
        <is>
          <t>нет в опубл. списке (опубликован только топ-15 страны)</t>
        </is>
      </c>
      <c r="M455" s="4" t="inlineStr">
        <is>
          <t>NIRF 2025 (Overall)</t>
        </is>
      </c>
      <c r="N455" s="4" t="inlineStr">
        <is>
          <t>151–200</t>
        </is>
      </c>
      <c r="O455" s="4" t="inlineStr">
        <is>
          <t>https://www.nirfindia.org/Rankings/2025/OverallRanking200.html</t>
        </is>
      </c>
      <c r="P455" s="4" t="inlineStr">
        <is>
          <t>NIRF 2025, другие категории: Engineering 101–150</t>
        </is>
      </c>
    </row>
    <row r="456">
      <c r="A456" s="3" t="inlineStr">
        <is>
          <t>India|Chandigarh University</t>
        </is>
      </c>
      <c r="B456" s="3" t="inlineStr">
        <is>
          <t>India</t>
        </is>
      </c>
      <c r="C456" s="3" t="inlineStr">
        <is>
          <t>Гаруан (Мохали)</t>
        </is>
      </c>
      <c r="D456" s="3" t="inlineStr">
        <is>
          <t>Chandigarh University</t>
        </is>
      </c>
      <c r="E456" s="3" t="inlineStr">
        <is>
          <t>चंडीगढ़ विश्वविद्यालय / ਚੰਡੀਗੜ੍ਹ ਯੂਨੀਵਰਸਿਟੀ</t>
        </is>
      </c>
      <c r="F456" s="3" t="inlineStr">
        <is>
          <t>https://www.cuchd.in</t>
        </is>
      </c>
      <c r="G456" s="3" t="inlineStr">
        <is>
          <t>QS2027: 526</t>
        </is>
      </c>
      <c r="H456" s="3" t="inlineStr"/>
      <c r="I456" s="3" t="inlineStr">
        <is>
          <t>NIRF2025 University: 19</t>
        </is>
      </c>
      <c r="J456" s="4">
        <f>526</f>
        <v/>
      </c>
      <c r="K456" s="4" t="inlineStr">
        <is>
          <t>не в рейтинге</t>
        </is>
      </c>
      <c r="L456" s="4" t="inlineStr">
        <is>
          <t>нет в опубл. списке (опубликован только топ-15 страны)</t>
        </is>
      </c>
      <c r="M456" s="4" t="inlineStr">
        <is>
          <t>NIRF 2025 (Overall)</t>
        </is>
      </c>
      <c r="N456" s="4" t="inlineStr">
        <is>
          <t>32</t>
        </is>
      </c>
      <c r="O456" s="4" t="inlineStr">
        <is>
          <t>https://www.topuniversities.com/world-university-rankings (QS WUR 2027)
https://www.nirfindia.org/Rankings/2025/OverallRanking.html</t>
        </is>
      </c>
      <c r="P456" s="4" t="inlineStr">
        <is>
          <t>NIRF 2025, другие категории: University 19, Engineering 31, Research 34, Management 32, Pharmacy 15, Architecture 14</t>
        </is>
      </c>
    </row>
    <row r="457">
      <c r="A457" s="3" t="inlineStr">
        <is>
          <t>India|Chennai Institute of Technology</t>
        </is>
      </c>
      <c r="B457" s="3" t="inlineStr">
        <is>
          <t>India</t>
        </is>
      </c>
      <c r="C457" s="3" t="inlineStr">
        <is>
          <t>Ченнаи</t>
        </is>
      </c>
      <c r="D457" s="3" t="inlineStr">
        <is>
          <t>Chennai Institute of Technology</t>
        </is>
      </c>
      <c r="E457" s="3" t="inlineStr">
        <is>
          <t>Chennai Institute of Technology (Autonomous)</t>
        </is>
      </c>
      <c r="F457" s="3" t="inlineStr">
        <is>
          <t>https://www.citchennai.edu.in</t>
        </is>
      </c>
      <c r="G457" s="3" t="inlineStr"/>
      <c r="H457" s="3" t="inlineStr"/>
      <c r="I457" s="3" t="inlineStr">
        <is>
          <t>NIRF2025 Engineering: 101-150</t>
        </is>
      </c>
      <c r="J457" s="4" t="inlineStr">
        <is>
          <t>не в рейтинге</t>
        </is>
      </c>
      <c r="K457" s="4" t="inlineStr">
        <is>
          <t>не в рейтинге</t>
        </is>
      </c>
      <c r="L457" s="4" t="inlineStr">
        <is>
          <t>нет в опубл. списке (опубликован только топ-15 страны)</t>
        </is>
      </c>
      <c r="M457" s="4" t="inlineStr">
        <is>
          <t>NIRF 2025 (Overall)</t>
        </is>
      </c>
      <c r="N457" s="4" t="inlineStr">
        <is>
          <t>151–200</t>
        </is>
      </c>
      <c r="O457" s="4" t="inlineStr">
        <is>
          <t>https://www.nirfindia.org/Rankings/2025/OverallRanking200.html</t>
        </is>
      </c>
      <c r="P457" s="4" t="inlineStr">
        <is>
          <t>NIRF 2025, другие категории: Engineering 101–150</t>
        </is>
      </c>
    </row>
    <row r="458">
      <c r="A458" s="3" t="inlineStr">
        <is>
          <t>India|Chettinad Academy of Research and Education</t>
        </is>
      </c>
      <c r="B458" s="3" t="inlineStr">
        <is>
          <t>India</t>
        </is>
      </c>
      <c r="C458" s="3" t="inlineStr">
        <is>
          <t>Келамбаккам (Ченнаи)</t>
        </is>
      </c>
      <c r="D458" s="3" t="inlineStr">
        <is>
          <t>Chettinad Academy of Research and Education</t>
        </is>
      </c>
      <c r="E458" s="3" t="inlineStr">
        <is>
          <t>Chettinad Academy of Research and Education (CARE)</t>
        </is>
      </c>
      <c r="F458" s="3" t="inlineStr">
        <is>
          <t>https://care.edu.in</t>
        </is>
      </c>
      <c r="G458" s="3" t="inlineStr"/>
      <c r="H458" s="3" t="inlineStr"/>
      <c r="I458" s="3" t="inlineStr">
        <is>
          <t>NIRF2025 University: 61</t>
        </is>
      </c>
      <c r="J458" s="4" t="inlineStr">
        <is>
          <t>не в рейтинге</t>
        </is>
      </c>
      <c r="K458" s="4" t="inlineStr">
        <is>
          <t>не в рейтинге</t>
        </is>
      </c>
      <c r="L458" s="4" t="inlineStr">
        <is>
          <t>нет в опубл. списке (опубликован только топ-15 страны)</t>
        </is>
      </c>
      <c r="M458" s="4" t="inlineStr">
        <is>
          <t>NIRF 2025 (Overall)</t>
        </is>
      </c>
      <c r="N458" s="4" t="inlineStr">
        <is>
          <t>101–150</t>
        </is>
      </c>
      <c r="O458" s="4" t="inlineStr">
        <is>
          <t>https://www.nirfindia.org/Rankings/2025/OverallRanking150.html</t>
        </is>
      </c>
      <c r="P458" s="4" t="inlineStr">
        <is>
          <t>NIRF 2025, другие категории: University 61, Medical 49</t>
        </is>
      </c>
    </row>
    <row r="459">
      <c r="A459" s="3" t="inlineStr">
        <is>
          <t>India|Chitkara  University</t>
        </is>
      </c>
      <c r="B459" s="3" t="inlineStr">
        <is>
          <t>India</t>
        </is>
      </c>
      <c r="C459" s="3" t="inlineStr">
        <is>
          <t>Раджпура</t>
        </is>
      </c>
      <c r="D459" s="3" t="inlineStr">
        <is>
          <t>Chitkara  University</t>
        </is>
      </c>
      <c r="E459" s="3" t="inlineStr">
        <is>
          <t>Chitkara University, Punjab</t>
        </is>
      </c>
      <c r="F459" s="3" t="inlineStr">
        <is>
          <t>https://www.chitkara.edu.in</t>
        </is>
      </c>
      <c r="G459" s="3" t="inlineStr">
        <is>
          <t>QS2027: 1001-1200</t>
        </is>
      </c>
      <c r="H459" s="3" t="inlineStr">
        <is>
          <t>THE2027: 701–800</t>
        </is>
      </c>
      <c r="I459" s="3" t="inlineStr">
        <is>
          <t>NIRF2025 University: 78</t>
        </is>
      </c>
      <c r="J459" s="4" t="inlineStr">
        <is>
          <t>1001–1200</t>
        </is>
      </c>
      <c r="K459" s="4" t="inlineStr">
        <is>
          <t>701–800</t>
        </is>
      </c>
      <c r="L459" s="4" t="inlineStr">
        <is>
          <t>761</t>
        </is>
      </c>
      <c r="M459" s="4" t="inlineStr">
        <is>
          <t>NIRF 2025 (Overall)</t>
        </is>
      </c>
      <c r="N459" s="4" t="inlineStr">
        <is>
          <t>101–150</t>
        </is>
      </c>
      <c r="O45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https://www.nirfindia.org/Rankings/2025/OverallRanking150.html</t>
        </is>
      </c>
      <c r="P459" s="4" t="inlineStr">
        <is>
          <t>NIRF 2025, другие категории: University 78, Engineering 89, Management 78, Pharmacy 16, Architecture 38</t>
        </is>
      </c>
    </row>
    <row r="460">
      <c r="A460" s="3" t="inlineStr">
        <is>
          <t>India|Cochin University of Science and Technology</t>
        </is>
      </c>
      <c r="B460" s="3" t="inlineStr">
        <is>
          <t>India</t>
        </is>
      </c>
      <c r="C460" s="3" t="inlineStr">
        <is>
          <t>Кочин (Коччи)</t>
        </is>
      </c>
      <c r="D460" s="3" t="inlineStr">
        <is>
          <t>Cochin University of Science and Technology</t>
        </is>
      </c>
      <c r="E460" s="3" t="inlineStr">
        <is>
          <t>കൊച്ചി ശാസ്ത്ര സാങ്കേതിക സർവകലാശാല</t>
        </is>
      </c>
      <c r="F460" s="3" t="inlineStr">
        <is>
          <t>https://www.cusat.ac.in</t>
        </is>
      </c>
      <c r="G460" s="3" t="inlineStr"/>
      <c r="H460" s="3" t="inlineStr">
        <is>
          <t>THE2027: 1001–1200</t>
        </is>
      </c>
      <c r="I460" s="3" t="inlineStr">
        <is>
          <t>NIRF2025 University: 32</t>
        </is>
      </c>
      <c r="J460" s="4" t="inlineStr">
        <is>
          <t>не в рейтинге</t>
        </is>
      </c>
      <c r="K460" s="4" t="inlineStr">
        <is>
          <t>1001–1200</t>
        </is>
      </c>
      <c r="L460" s="4" t="inlineStr">
        <is>
          <t>нет в опубл. списке (опубликован только топ-15 страны)</t>
        </is>
      </c>
      <c r="M460" s="4" t="inlineStr">
        <is>
          <t>NIRF 2025 (Overall)</t>
        </is>
      </c>
      <c r="N460" s="4" t="inlineStr">
        <is>
          <t>50</t>
        </is>
      </c>
      <c r="O460" s="4" t="inlineStr">
        <is>
          <t>https://www.timeshighereducation.com/world-university-rankings/2027/world-ranking
https://www.nirfindia.org/Rankings/2025/OverallRanking.html</t>
        </is>
      </c>
      <c r="P460" s="4" t="inlineStr">
        <is>
          <t>NIRF 2025, другие категории: University 32, Management 82, Law 13</t>
        </is>
      </c>
    </row>
    <row r="461">
      <c r="A461" s="3" t="inlineStr">
        <is>
          <t>India|Coimbatore Institute of Technology (CIT)</t>
        </is>
      </c>
      <c r="B461" s="3" t="inlineStr">
        <is>
          <t>India</t>
        </is>
      </c>
      <c r="C461" s="3" t="inlineStr">
        <is>
          <t>Коимбатур</t>
        </is>
      </c>
      <c r="D461" s="3" t="inlineStr">
        <is>
          <t>Coimbatore Institute of Technology (CIT)</t>
        </is>
      </c>
      <c r="E461" s="3" t="inlineStr"/>
      <c r="F461" s="3" t="inlineStr">
        <is>
          <t>https://cit.edu.in</t>
        </is>
      </c>
      <c r="G461" s="3" t="inlineStr"/>
      <c r="H461" s="3" t="inlineStr"/>
      <c r="I461" s="3" t="inlineStr">
        <is>
          <t>NIRF2025 Engineering: 101-150</t>
        </is>
      </c>
      <c r="J461" s="4" t="inlineStr">
        <is>
          <t>не в рейтинге</t>
        </is>
      </c>
      <c r="K461" s="4" t="inlineStr">
        <is>
          <t>не в рейтинге</t>
        </is>
      </c>
      <c r="L461" s="4" t="inlineStr">
        <is>
          <t>нет в опубл. списке (опубликован только топ-15 страны)</t>
        </is>
      </c>
      <c r="M461" s="4" t="inlineStr">
        <is>
          <t>NIRF 2025 (Engineering)</t>
        </is>
      </c>
      <c r="N461" s="4" t="inlineStr">
        <is>
          <t>101–150</t>
        </is>
      </c>
      <c r="O461" s="4" t="inlineStr">
        <is>
          <t>https://www.nirfindia.org/Rankings/2025/EngineeringRanking150.html</t>
        </is>
      </c>
      <c r="P461" s="4" t="n"/>
    </row>
    <row r="462">
      <c r="A462" s="3" t="inlineStr">
        <is>
          <t>India|College of Engineering Trivandrum (CET)</t>
        </is>
      </c>
      <c r="B462" s="3" t="inlineStr">
        <is>
          <t>India</t>
        </is>
      </c>
      <c r="C462" s="3" t="inlineStr">
        <is>
          <t>Тируванантапурам</t>
        </is>
      </c>
      <c r="D462" s="3" t="inlineStr">
        <is>
          <t>College of Engineering Trivandrum (CET)</t>
        </is>
      </c>
      <c r="E462" s="3" t="inlineStr">
        <is>
          <t>കോളേജ് ഓഫ് എഞ്ചിനീയറിംഗ് തിരുവനന്തപുരം</t>
        </is>
      </c>
      <c r="F462" s="3" t="inlineStr">
        <is>
          <t>https://www.cet.ac.in</t>
        </is>
      </c>
      <c r="G462" s="3" t="inlineStr"/>
      <c r="H462" s="3" t="inlineStr"/>
      <c r="I462" s="3" t="inlineStr">
        <is>
          <t>NIRF2025 Engineering: 101-150</t>
        </is>
      </c>
      <c r="J462" s="4" t="inlineStr">
        <is>
          <t>не в рейтинге</t>
        </is>
      </c>
      <c r="K462" s="4" t="inlineStr">
        <is>
          <t>не в рейтинге</t>
        </is>
      </c>
      <c r="L462" s="4" t="inlineStr">
        <is>
          <t>нет в опубл. списке (опубликован только топ-15 страны)</t>
        </is>
      </c>
      <c r="M462" s="4" t="inlineStr">
        <is>
          <t>NIRF 2025 (Engineering)</t>
        </is>
      </c>
      <c r="N462" s="4" t="inlineStr">
        <is>
          <t>101–150</t>
        </is>
      </c>
      <c r="O462" s="4" t="inlineStr">
        <is>
          <t>https://www.nirfindia.org/Rankings/2025/EngineeringRanking150.html</t>
        </is>
      </c>
      <c r="P462" s="4" t="inlineStr">
        <is>
          <t>NIRF 2025, другие категории: Architecture 15</t>
        </is>
      </c>
    </row>
    <row r="463">
      <c r="A463" s="3" t="inlineStr">
        <is>
          <t>India|Defence Institute of Advanced Technology</t>
        </is>
      </c>
      <c r="B463" s="3" t="inlineStr">
        <is>
          <t>India</t>
        </is>
      </c>
      <c r="C463" s="3" t="inlineStr">
        <is>
          <t>Пуна</t>
        </is>
      </c>
      <c r="D463" s="3" t="inlineStr">
        <is>
          <t>Defence Institute of Advanced Technology</t>
        </is>
      </c>
      <c r="E463" s="3" t="inlineStr">
        <is>
          <t>रक्षा उन्नत प्रौद्योगिकी संस्थान (DIAT, Deemed to be University)</t>
        </is>
      </c>
      <c r="F463" s="3" t="inlineStr">
        <is>
          <t>https://diat.ac.in</t>
        </is>
      </c>
      <c r="G463" s="3" t="inlineStr"/>
      <c r="H463" s="3" t="inlineStr"/>
      <c r="I463" s="3" t="inlineStr">
        <is>
          <t>NIRF2025 Engineering: 92</t>
        </is>
      </c>
      <c r="J463" s="4" t="inlineStr">
        <is>
          <t>не в рейтинге</t>
        </is>
      </c>
      <c r="K463" s="4" t="inlineStr">
        <is>
          <t>не в рейтинге</t>
        </is>
      </c>
      <c r="L463" s="4" t="inlineStr">
        <is>
          <t>нет в опубл. списке (опубликован только топ-15 страны)</t>
        </is>
      </c>
      <c r="M463" s="4" t="inlineStr">
        <is>
          <t>NIRF 2025 (Engineering)</t>
        </is>
      </c>
      <c r="N463" s="4" t="inlineStr">
        <is>
          <t>92</t>
        </is>
      </c>
      <c r="O463" s="4" t="inlineStr">
        <is>
          <t>https://www.nirfindia.org/Rankings/2025/EngineeringRanking.html</t>
        </is>
      </c>
      <c r="P463" s="4" t="n"/>
    </row>
    <row r="464">
      <c r="A464" s="3" t="inlineStr">
        <is>
          <t>India|Delhi Technological University</t>
        </is>
      </c>
      <c r="B464" s="3" t="inlineStr">
        <is>
          <t>India</t>
        </is>
      </c>
      <c r="C464" s="3" t="inlineStr">
        <is>
          <t>Нью-Дели</t>
        </is>
      </c>
      <c r="D464" s="3" t="inlineStr">
        <is>
          <t>Delhi Technological University</t>
        </is>
      </c>
      <c r="E464" s="3" t="inlineStr">
        <is>
          <t>दिल्ली प्रौद्योगिकी विश्वविद्यालय</t>
        </is>
      </c>
      <c r="F464" s="3" t="inlineStr">
        <is>
          <t>https://dtu.ac.in</t>
        </is>
      </c>
      <c r="G464" s="3" t="inlineStr"/>
      <c r="H464" s="3" t="inlineStr">
        <is>
          <t>THE2027: 1001–1200</t>
        </is>
      </c>
      <c r="I464" s="3" t="inlineStr">
        <is>
          <t>NIRF2025 Engineering: 30</t>
        </is>
      </c>
      <c r="J464" s="4" t="inlineStr">
        <is>
          <t>не в рейтинге</t>
        </is>
      </c>
      <c r="K464" s="4" t="inlineStr">
        <is>
          <t>1001–1200</t>
        </is>
      </c>
      <c r="L464" s="4" t="inlineStr">
        <is>
          <t>нет в опубл. списке (опубликован только топ-15 страны)</t>
        </is>
      </c>
      <c r="M464" s="4" t="inlineStr">
        <is>
          <t>NIRF 2025 (Overall)</t>
        </is>
      </c>
      <c r="N464" s="4" t="inlineStr">
        <is>
          <t>62</t>
        </is>
      </c>
      <c r="O464" s="4" t="inlineStr">
        <is>
          <t>https://www.timeshighereducation.com/world-university-rankings/2027/world-ranking
https://www.nirfindia.org/Rankings/2025/OverallRanking.html</t>
        </is>
      </c>
      <c r="P464" s="4" t="inlineStr">
        <is>
          <t>NIRF 2025, другие категории: University 42, Engineering 30</t>
        </is>
      </c>
    </row>
    <row r="465">
      <c r="A465" s="3" t="inlineStr">
        <is>
          <t>India|Dr. B R Ambedkar National Institute of Technology, Jalandhar</t>
        </is>
      </c>
      <c r="B465" s="3" t="inlineStr">
        <is>
          <t>India</t>
        </is>
      </c>
      <c r="C465" s="3" t="inlineStr">
        <is>
          <t>Джаландхар</t>
        </is>
      </c>
      <c r="D465" s="3" t="inlineStr">
        <is>
          <t>Dr. B R Ambedkar National Institute of Technology, Jalandhar</t>
        </is>
      </c>
      <c r="E465" s="3" t="inlineStr">
        <is>
          <t>डॉ. बी. आर. अम्बेडकर राष्ट्रीय प्रौद्योगिकी संस्थान जालंधर</t>
        </is>
      </c>
      <c r="F465" s="3" t="inlineStr">
        <is>
          <t>https://www.nitj.ac.in</t>
        </is>
      </c>
      <c r="G465" s="3" t="inlineStr"/>
      <c r="H465" s="3" t="inlineStr">
        <is>
          <t>THE2027: 1001–1200</t>
        </is>
      </c>
      <c r="I465" s="3" t="inlineStr">
        <is>
          <t>NIRF2025 Engineering: 55</t>
        </is>
      </c>
      <c r="J465" s="4" t="inlineStr">
        <is>
          <t>не в рейтинге</t>
        </is>
      </c>
      <c r="K465" s="4" t="inlineStr">
        <is>
          <t>1001–1200</t>
        </is>
      </c>
      <c r="L465" s="4" t="inlineStr">
        <is>
          <t>нет в опубл. списке (опубликован только топ-15 страны)</t>
        </is>
      </c>
      <c r="M465" s="4" t="inlineStr">
        <is>
          <t>NIRF 2025 (Overall)</t>
        </is>
      </c>
      <c r="N465" s="4" t="inlineStr">
        <is>
          <t>101–150</t>
        </is>
      </c>
      <c r="O465" s="4" t="inlineStr">
        <is>
          <t>https://www.timeshighereducation.com/world-university-rankings/2027/world-ranking
https://www.nirfindia.org/Rankings/2025/OverallRanking150.html</t>
        </is>
      </c>
      <c r="P465" s="4" t="inlineStr">
        <is>
          <t>NIRF 2025, другие категории: Engineering 55</t>
        </is>
      </c>
    </row>
    <row r="466">
      <c r="A466" s="3" t="inlineStr">
        <is>
          <t>India|Dr. D. Y. Patil Vidyapeeth</t>
        </is>
      </c>
      <c r="B466" s="3" t="inlineStr">
        <is>
          <t>India</t>
        </is>
      </c>
      <c r="C466" s="3" t="inlineStr">
        <is>
          <t>Пуне</t>
        </is>
      </c>
      <c r="D466" s="3" t="inlineStr">
        <is>
          <t>Dr. D. Y. Patil Vidyapeeth</t>
        </is>
      </c>
      <c r="E466" s="3" t="inlineStr">
        <is>
          <t>Dr. D. Y. Patil Vidyapeeth, Pune (Deemed to be University)</t>
        </is>
      </c>
      <c r="F466" s="3" t="inlineStr">
        <is>
          <t>https://dpu.edu.in</t>
        </is>
      </c>
      <c r="G466" s="3" t="inlineStr"/>
      <c r="H466" s="3" t="inlineStr">
        <is>
          <t>THE2027: 1001–1200</t>
        </is>
      </c>
      <c r="I466" s="3" t="inlineStr">
        <is>
          <t>NIRF2025 University: 41</t>
        </is>
      </c>
      <c r="J466" s="4" t="inlineStr">
        <is>
          <t>не в рейтинге</t>
        </is>
      </c>
      <c r="K466" s="4" t="inlineStr">
        <is>
          <t>1001–1200</t>
        </is>
      </c>
      <c r="L466" s="4" t="inlineStr">
        <is>
          <t>нет в опубл. списке (опубликован только топ-15 страны)</t>
        </is>
      </c>
      <c r="M466" s="4" t="inlineStr">
        <is>
          <t>NIRF 2025 (Overall)</t>
        </is>
      </c>
      <c r="N466" s="4" t="inlineStr">
        <is>
          <t>71</t>
        </is>
      </c>
      <c r="O466" s="4" t="inlineStr">
        <is>
          <t>https://www.timeshighereducation.com/world-university-rankings/2027/world-ranking
https://www.nirfindia.org/Rankings/2025/OverallRanking.html</t>
        </is>
      </c>
      <c r="P466" s="4" t="inlineStr">
        <is>
          <t>NIRF 2025, другие категории: University 41, Medical 12</t>
        </is>
      </c>
    </row>
    <row r="467">
      <c r="A467" s="3" t="inlineStr">
        <is>
          <t>India|Dr. Vishwanath Karad MIT World Peace University</t>
        </is>
      </c>
      <c r="B467" s="3" t="inlineStr">
        <is>
          <t>India</t>
        </is>
      </c>
      <c r="C467" s="3" t="inlineStr">
        <is>
          <t>Пуна</t>
        </is>
      </c>
      <c r="D467" s="3" t="inlineStr">
        <is>
          <t>Dr. Vishwanath Karad MIT World Peace University</t>
        </is>
      </c>
      <c r="E467" s="3" t="inlineStr">
        <is>
          <t>Dr. Vishwanath Karad MIT World Peace University (MIT-WPU)</t>
        </is>
      </c>
      <c r="F467" s="3" t="inlineStr">
        <is>
          <t>https://mitwpu.edu.in</t>
        </is>
      </c>
      <c r="G467" s="3" t="inlineStr"/>
      <c r="H467" s="3" t="inlineStr"/>
      <c r="I467" s="3" t="inlineStr">
        <is>
          <t>NIRF2025 Engineering: 101-150</t>
        </is>
      </c>
      <c r="J467" s="4" t="inlineStr">
        <is>
          <t>не в рейтинге</t>
        </is>
      </c>
      <c r="K467" s="4" t="inlineStr">
        <is>
          <t>не в рейтинге</t>
        </is>
      </c>
      <c r="L467" s="4" t="inlineStr">
        <is>
          <t>нет в опубл. списке (опубликован только топ-15 страны)</t>
        </is>
      </c>
      <c r="M467" s="4" t="inlineStr">
        <is>
          <t>NIRF 2025 (University)</t>
        </is>
      </c>
      <c r="N467" s="4" t="inlineStr">
        <is>
          <t>151–200</t>
        </is>
      </c>
      <c r="O467" s="4" t="inlineStr">
        <is>
          <t>https://www.nirfindia.org/Rankings/2025/UniversityRanking200.html</t>
        </is>
      </c>
      <c r="P467" s="4" t="inlineStr">
        <is>
          <t>NIRF 2025, другие категории: Engineering 101–150, Pharmacy 70</t>
        </is>
      </c>
    </row>
    <row r="468">
      <c r="A468" s="3" t="inlineStr">
        <is>
          <t>India|Easwari Engineering College</t>
        </is>
      </c>
      <c r="B468" s="3" t="inlineStr">
        <is>
          <t>India</t>
        </is>
      </c>
      <c r="C468" s="3" t="inlineStr">
        <is>
          <t>Ченнаи</t>
        </is>
      </c>
      <c r="D468" s="3" t="inlineStr">
        <is>
          <t>Easwari Engineering College</t>
        </is>
      </c>
      <c r="E468" s="3" t="inlineStr">
        <is>
          <t>SRM Easwari Engineering College (autonomous, affiliated to Anna University)</t>
        </is>
      </c>
      <c r="F468" s="3" t="inlineStr">
        <is>
          <t>https://srmeaswari.ac.in</t>
        </is>
      </c>
      <c r="G468" s="3" t="inlineStr"/>
      <c r="H468" s="3" t="inlineStr"/>
      <c r="I468" s="3" t="inlineStr">
        <is>
          <t>NIRF2025 Engineering: 101-150</t>
        </is>
      </c>
      <c r="J468" s="4" t="inlineStr">
        <is>
          <t>не в рейтинге</t>
        </is>
      </c>
      <c r="K468" s="4" t="inlineStr">
        <is>
          <t>не в рейтинге</t>
        </is>
      </c>
      <c r="L468" s="4" t="inlineStr">
        <is>
          <t>нет в опубл. списке (опубликован только топ-15 страны)</t>
        </is>
      </c>
      <c r="M468" s="4" t="inlineStr">
        <is>
          <t>NIRF 2025 (Engineering)</t>
        </is>
      </c>
      <c r="N468" s="4" t="inlineStr">
        <is>
          <t>101–150</t>
        </is>
      </c>
      <c r="O468" s="4" t="inlineStr">
        <is>
          <t>https://www.nirfindia.org/Rankings/2025/EngineeringRanking150.html</t>
        </is>
      </c>
      <c r="P468" s="4" t="n"/>
    </row>
    <row r="469">
      <c r="A469" s="3" t="inlineStr">
        <is>
          <t>India|G H Raisoni College of Engineering</t>
        </is>
      </c>
      <c r="B469" s="3" t="inlineStr">
        <is>
          <t>India</t>
        </is>
      </c>
      <c r="C469" s="3" t="inlineStr">
        <is>
          <t>Нагпур</t>
        </is>
      </c>
      <c r="D469" s="3" t="inlineStr">
        <is>
          <t>G H Raisoni College of Engineering</t>
        </is>
      </c>
      <c r="E469" s="3" t="inlineStr"/>
      <c r="F469" s="3" t="inlineStr">
        <is>
          <t>https://ghrce.raisoni.net</t>
        </is>
      </c>
      <c r="G469" s="3" t="inlineStr"/>
      <c r="H469" s="3" t="inlineStr"/>
      <c r="I469" s="3" t="inlineStr"/>
      <c r="J469" s="4" t="inlineStr">
        <is>
          <t>не в рейтинге</t>
        </is>
      </c>
      <c r="K469" s="4" t="inlineStr">
        <is>
          <t>не в рейтинге</t>
        </is>
      </c>
      <c r="L469" s="4" t="inlineStr">
        <is>
          <t>нет в опубл. списке (опубликован только топ-15 страны)</t>
        </is>
      </c>
      <c r="M469" s="4" t="inlineStr">
        <is>
          <t>NIRF 2025</t>
        </is>
      </c>
      <c r="N469" s="4" t="inlineStr">
        <is>
          <t>не в рейтинге</t>
        </is>
      </c>
      <c r="O469" s="4" t="inlineStr">
        <is>
          <t>https://www.nirfindia.org/Rankings/2025/Ranking.html</t>
        </is>
      </c>
      <c r="P469" s="4" t="n"/>
    </row>
    <row r="470">
      <c r="A470" s="3" t="inlineStr">
        <is>
          <t>India|Galgotias University</t>
        </is>
      </c>
      <c r="B470" s="3" t="inlineStr">
        <is>
          <t>India</t>
        </is>
      </c>
      <c r="C470" s="3" t="inlineStr">
        <is>
          <t>Большая Нойда (округ Гаутам-Будх-Нагар)</t>
        </is>
      </c>
      <c r="D470" s="3" t="inlineStr">
        <is>
          <t>Galgotias University</t>
        </is>
      </c>
      <c r="E470" s="3" t="inlineStr">
        <is>
          <t>गलगोटियास विश्वविद्यालय</t>
        </is>
      </c>
      <c r="F470" s="3" t="inlineStr">
        <is>
          <t>https://www.galgotiasuniversity.edu.in</t>
        </is>
      </c>
      <c r="G470" s="3" t="inlineStr">
        <is>
          <t>QS2027: 1201–1400</t>
        </is>
      </c>
      <c r="H470" s="3" t="inlineStr">
        <is>
          <t>THE2027: 1001–1200</t>
        </is>
      </c>
      <c r="I470" s="3" t="inlineStr">
        <is>
          <t>NIRF2025 Engineering: 101-150</t>
        </is>
      </c>
      <c r="J470" s="4" t="inlineStr">
        <is>
          <t>1201–1400</t>
        </is>
      </c>
      <c r="K470" s="4" t="inlineStr">
        <is>
          <t>1001–1200</t>
        </is>
      </c>
      <c r="L470" s="4" t="inlineStr">
        <is>
          <t>нет в опубл. списке (опубликован только топ-15 страны)</t>
        </is>
      </c>
      <c r="M470" s="4" t="inlineStr">
        <is>
          <t>NIRF 2025 (Overall)</t>
        </is>
      </c>
      <c r="N470" s="4" t="inlineStr">
        <is>
          <t>151–200</t>
        </is>
      </c>
      <c r="O470" s="4" t="inlineStr">
        <is>
          <t>https://www.topuniversities.com/world-university-rankings (QS WUR 2027)
https://www.timeshighereducation.com/world-university-rankings/2027/world-ranking
https://www.nirfindia.org/Rankings/2025/OverallRanking200.html</t>
        </is>
      </c>
      <c r="P470" s="4" t="inlineStr">
        <is>
          <t>NIRF 2025, другие категории: University 101–150, Engineering 101–150, Management 101–150, Pharmacy 55, Law 36</t>
        </is>
      </c>
    </row>
    <row r="471">
      <c r="A471" s="3" t="inlineStr">
        <is>
          <t>India|Gauhati University</t>
        </is>
      </c>
      <c r="B471" s="3" t="inlineStr">
        <is>
          <t>India</t>
        </is>
      </c>
      <c r="C471" s="3" t="inlineStr">
        <is>
          <t>Гувахати</t>
        </is>
      </c>
      <c r="D471" s="3" t="inlineStr">
        <is>
          <t>Gauhati University</t>
        </is>
      </c>
      <c r="E471" s="3" t="inlineStr">
        <is>
          <t>গুৱাহাটী বিশ্ববিদ্যালয়</t>
        </is>
      </c>
      <c r="F471" s="3" t="inlineStr">
        <is>
          <t>https://gauhati.ac.in</t>
        </is>
      </c>
      <c r="G471" s="3" t="inlineStr"/>
      <c r="H471" s="3" t="inlineStr">
        <is>
          <t>THE2027: 1601–1800</t>
        </is>
      </c>
      <c r="I471" s="3" t="inlineStr">
        <is>
          <t>NIRF2025 University: 33</t>
        </is>
      </c>
      <c r="J471" s="4" t="inlineStr">
        <is>
          <t>не в рейтинге</t>
        </is>
      </c>
      <c r="K471" s="4" t="inlineStr">
        <is>
          <t>1601–1800</t>
        </is>
      </c>
      <c r="L471" s="4" t="inlineStr">
        <is>
          <t>нет в опубл. списке (опубликован только топ-15 страны)</t>
        </is>
      </c>
      <c r="M471" s="4" t="inlineStr">
        <is>
          <t>NIRF 2025 (Overall)</t>
        </is>
      </c>
      <c r="N471" s="4" t="inlineStr">
        <is>
          <t>52</t>
        </is>
      </c>
      <c r="O471" s="4" t="inlineStr">
        <is>
          <t>https://www.timeshighereducation.com/world-university-rankings/2027/world-ranking
https://www.nirfindia.org/Rankings/2025/OverallRanking.html</t>
        </is>
      </c>
      <c r="P471" s="4" t="inlineStr">
        <is>
          <t>NIRF 2025, другие категории: University 33</t>
        </is>
      </c>
    </row>
    <row r="472">
      <c r="A472" s="3" t="inlineStr">
        <is>
          <t>India|Graphic Era University</t>
        </is>
      </c>
      <c r="B472" s="3" t="inlineStr">
        <is>
          <t>India</t>
        </is>
      </c>
      <c r="C472" s="3" t="inlineStr">
        <is>
          <t>Дехрадун</t>
        </is>
      </c>
      <c r="D472" s="3" t="inlineStr">
        <is>
          <t>Graphic Era University</t>
        </is>
      </c>
      <c r="E472" s="3" t="inlineStr">
        <is>
          <t>ग्राफिक एरा (डीम्ड टू बी यूनिवर्सिटी)</t>
        </is>
      </c>
      <c r="F472" s="3" t="inlineStr">
        <is>
          <t>https://geu.ac.in</t>
        </is>
      </c>
      <c r="G472" s="3" t="inlineStr"/>
      <c r="H472" s="3" t="inlineStr"/>
      <c r="I472" s="3" t="inlineStr">
        <is>
          <t>NIRF2025 University: 48</t>
        </is>
      </c>
      <c r="J472" s="4" t="inlineStr">
        <is>
          <t>не в рейтинге</t>
        </is>
      </c>
      <c r="K472" s="4" t="inlineStr">
        <is>
          <t>551–600</t>
        </is>
      </c>
      <c r="L472" s="4" t="inlineStr">
        <is>
          <t>нет в опубл. списке (опубликован только топ-15 страны)</t>
        </is>
      </c>
      <c r="M472" s="4" t="inlineStr">
        <is>
          <t>NIRF 2025 (Overall)</t>
        </is>
      </c>
      <c r="N472" s="4" t="inlineStr">
        <is>
          <t>72</t>
        </is>
      </c>
      <c r="O472" s="4" t="inlineStr">
        <is>
          <t>https://www.timeshighereducation.com/world-university-rankings/2027/world-ranking
https://www.nirfindia.org/Rankings/2025/OverallRanking.html</t>
        </is>
      </c>
      <c r="P472" s="4" t="inlineStr">
        <is>
          <t>NIRF 2025, другие категории: University 48, Engineering 52, Management 52</t>
        </is>
      </c>
    </row>
    <row r="473">
      <c r="A473" s="3" t="inlineStr">
        <is>
          <t>India|Gujarat University</t>
        </is>
      </c>
      <c r="B473" s="3" t="inlineStr">
        <is>
          <t>India</t>
        </is>
      </c>
      <c r="C473" s="3" t="inlineStr">
        <is>
          <t>Ахмадабад</t>
        </is>
      </c>
      <c r="D473" s="3" t="inlineStr">
        <is>
          <t>Gujarat University</t>
        </is>
      </c>
      <c r="E473" s="3" t="inlineStr">
        <is>
          <t>ગુજરાત યુનિવર્સિટી</t>
        </is>
      </c>
      <c r="F473" s="3" t="inlineStr">
        <is>
          <t>https://www.gujaratuniversity.ac.in</t>
        </is>
      </c>
      <c r="G473" s="3" t="inlineStr"/>
      <c r="H473" s="3" t="inlineStr"/>
      <c r="I473" s="3" t="inlineStr">
        <is>
          <t>NIRF2025 University: 74</t>
        </is>
      </c>
      <c r="J473" s="4" t="inlineStr">
        <is>
          <t>не в рейтинге</t>
        </is>
      </c>
      <c r="K473" s="4" t="inlineStr">
        <is>
          <t>не в рейтинге</t>
        </is>
      </c>
      <c r="L473" s="4" t="inlineStr">
        <is>
          <t>нет в опубл. списке (опубликован только топ-15 страны)</t>
        </is>
      </c>
      <c r="M473" s="4" t="inlineStr">
        <is>
          <t>NIRF 2025 (Overall)</t>
        </is>
      </c>
      <c r="N473" s="4" t="inlineStr">
        <is>
          <t>101–150</t>
        </is>
      </c>
      <c r="O473" s="4" t="inlineStr">
        <is>
          <t>https://www.nirfindia.org/Rankings/2025/OverallRanking150.html</t>
        </is>
      </c>
      <c r="P473" s="4" t="inlineStr">
        <is>
          <t>NIRF 2025, другие категории: University 74</t>
        </is>
      </c>
    </row>
    <row r="474">
      <c r="A474" s="3" t="inlineStr">
        <is>
          <t>India|Guru Gobind Singh Indraprastha University</t>
        </is>
      </c>
      <c r="B474" s="3" t="inlineStr">
        <is>
          <t>India</t>
        </is>
      </c>
      <c r="C474" s="3" t="inlineStr">
        <is>
          <t>Нью-Дели</t>
        </is>
      </c>
      <c r="D474" s="3" t="inlineStr">
        <is>
          <t>Guru Gobind Singh Indraprastha University</t>
        </is>
      </c>
      <c r="E474" s="3" t="inlineStr">
        <is>
          <t>गुरु गोबिंद सिंह इंद्रप्रस्थ विश्वविद्यालय</t>
        </is>
      </c>
      <c r="F474" s="3" t="inlineStr">
        <is>
          <t>https://ipu.ac.in</t>
        </is>
      </c>
      <c r="G474" s="3" t="inlineStr">
        <is>
          <t>QS2027: 1001–1200</t>
        </is>
      </c>
      <c r="H474" s="3" t="inlineStr">
        <is>
          <t>THE2027: 1401–1600</t>
        </is>
      </c>
      <c r="I474" s="3" t="inlineStr">
        <is>
          <t>NIRF2025 University: 93</t>
        </is>
      </c>
      <c r="J474" s="4" t="inlineStr">
        <is>
          <t>1001–1200</t>
        </is>
      </c>
      <c r="K474" s="4" t="inlineStr">
        <is>
          <t>1401–1600</t>
        </is>
      </c>
      <c r="L474" s="4" t="inlineStr">
        <is>
          <t>нет в опубл. списке (опубликован только топ-15 страны)</t>
        </is>
      </c>
      <c r="M474" s="4" t="inlineStr">
        <is>
          <t>NIRF 2025 (Overall)</t>
        </is>
      </c>
      <c r="N474" s="4" t="inlineStr">
        <is>
          <t>151–200</t>
        </is>
      </c>
      <c r="O474" s="4" t="inlineStr">
        <is>
          <t>https://www.topuniversities.com/world-university-rankings (QS WUR 2027)
https://www.timeshighereducation.com/world-university-rankings/2027/world-ranking
https://www.nirfindia.org/Rankings/2025/OverallRanking200.html</t>
        </is>
      </c>
      <c r="P474" s="4" t="inlineStr">
        <is>
          <t>NIRF 2025, другие категории: University 93, Engineering 101–150, Management 76, Law 22, Architecture 36</t>
        </is>
      </c>
    </row>
    <row r="475">
      <c r="A475" s="3" t="inlineStr">
        <is>
          <t>India|Hindustan Institute of Technology and Science (HITS)</t>
        </is>
      </c>
      <c r="B475" s="3" t="inlineStr">
        <is>
          <t>India</t>
        </is>
      </c>
      <c r="C475" s="3" t="inlineStr">
        <is>
          <t>Ченнаи</t>
        </is>
      </c>
      <c r="D475" s="3" t="inlineStr">
        <is>
          <t>Hindustan Institute of Technology and Science (HITS)</t>
        </is>
      </c>
      <c r="E475" s="3" t="inlineStr"/>
      <c r="F475" s="3" t="inlineStr">
        <is>
          <t>https://hindustanuniv.ac.in</t>
        </is>
      </c>
      <c r="G475" s="3" t="inlineStr"/>
      <c r="H475" s="3" t="inlineStr">
        <is>
          <t>THE2027: 1201–1400</t>
        </is>
      </c>
      <c r="I475" s="3" t="inlineStr">
        <is>
          <t>NIRF2025 Engineering: 101-150</t>
        </is>
      </c>
      <c r="J475" s="4" t="inlineStr">
        <is>
          <t>не в рейтинге</t>
        </is>
      </c>
      <c r="K475" s="4" t="inlineStr">
        <is>
          <t>1201–1400</t>
        </is>
      </c>
      <c r="L475" s="4" t="inlineStr">
        <is>
          <t>нет в опубл. списке (опубликован только топ-15 страны)</t>
        </is>
      </c>
      <c r="M475" s="4" t="inlineStr">
        <is>
          <t>NIRF 2025 (Overall)</t>
        </is>
      </c>
      <c r="N475" s="4" t="inlineStr">
        <is>
          <t>151–200</t>
        </is>
      </c>
      <c r="O475" s="4" t="inlineStr">
        <is>
          <t>https://www.timeshighereducation.com/world-university-rankings/2027/world-ranking
https://www.nirfindia.org/Rankings/2025/OverallRanking200.html</t>
        </is>
      </c>
      <c r="P475" s="4" t="inlineStr">
        <is>
          <t>NIRF 2025, другие категории: University 101–150, Engineering 101–150, Management 101–150</t>
        </is>
      </c>
    </row>
    <row r="476">
      <c r="A476" s="3" t="inlineStr">
        <is>
          <t>India|Indian Agricultural Research Institute</t>
        </is>
      </c>
      <c r="B476" s="3" t="inlineStr">
        <is>
          <t>India</t>
        </is>
      </c>
      <c r="C476" s="3" t="inlineStr">
        <is>
          <t>Нью-Дели</t>
        </is>
      </c>
      <c r="D476" s="3" t="inlineStr">
        <is>
          <t>Indian Agricultural Research Institute</t>
        </is>
      </c>
      <c r="E476" s="3" t="inlineStr">
        <is>
          <t>भारतीय कृषि अनुसंधान संस्थान</t>
        </is>
      </c>
      <c r="F476" s="3" t="inlineStr">
        <is>
          <t>https://www.iari.res.in</t>
        </is>
      </c>
      <c r="G476" s="3" t="inlineStr"/>
      <c r="H476" s="3" t="inlineStr"/>
      <c r="I476" s="3" t="inlineStr">
        <is>
          <t>NIRF2025 University: 16</t>
        </is>
      </c>
      <c r="J476" s="4" t="inlineStr">
        <is>
          <t>не в рейтинге</t>
        </is>
      </c>
      <c r="K476" s="4" t="inlineStr">
        <is>
          <t>не в рейтинге</t>
        </is>
      </c>
      <c r="L476" s="4" t="inlineStr">
        <is>
          <t>нет в опубл. списке (опубликован только топ-15 страны)</t>
        </is>
      </c>
      <c r="M476" s="4" t="inlineStr">
        <is>
          <t>NIRF 2025 (Overall)</t>
        </is>
      </c>
      <c r="N476" s="4" t="inlineStr">
        <is>
          <t>24</t>
        </is>
      </c>
      <c r="O476" s="4" t="inlineStr">
        <is>
          <t>https://www.nirfindia.org/Rankings/2025/OverallRanking.html</t>
        </is>
      </c>
      <c r="P476" s="4" t="inlineStr">
        <is>
          <t>NIRF 2025, другие категории: University 16, Research 29, Agriculture 1</t>
        </is>
      </c>
    </row>
    <row r="477">
      <c r="A477" s="3" t="inlineStr">
        <is>
          <t>India|Indian Institute of Engineering Science and Technology, Shibpur</t>
        </is>
      </c>
      <c r="B477" s="3" t="inlineStr">
        <is>
          <t>India</t>
        </is>
      </c>
      <c r="C477" s="3" t="inlineStr">
        <is>
          <t>Хаора</t>
        </is>
      </c>
      <c r="D477" s="3" t="inlineStr">
        <is>
          <t>Indian Institute of Engineering Science and Technology, Shibpur</t>
        </is>
      </c>
      <c r="E477" s="3" t="inlineStr">
        <is>
          <t>भारतीय अभियांत्रिकी विज्ञान एवं प्रौद्योगिकी संस्थान, शिवपुर</t>
        </is>
      </c>
      <c r="F477" s="3" t="inlineStr">
        <is>
          <t>https://www.iiests.ac.in</t>
        </is>
      </c>
      <c r="G477" s="3" t="inlineStr"/>
      <c r="H477" s="3" t="inlineStr"/>
      <c r="I477" s="3" t="inlineStr">
        <is>
          <t>NIRF2025 Engineering: 54</t>
        </is>
      </c>
      <c r="J477" s="4" t="inlineStr">
        <is>
          <t>не в рейтинге</t>
        </is>
      </c>
      <c r="K477" s="4" t="inlineStr">
        <is>
          <t>не в рейтинге</t>
        </is>
      </c>
      <c r="L477" s="4" t="inlineStr">
        <is>
          <t>нет в опубл. списке (опубликован только топ-15 страны)</t>
        </is>
      </c>
      <c r="M477" s="4" t="inlineStr">
        <is>
          <t>NIRF 2025 (Overall)</t>
        </is>
      </c>
      <c r="N477" s="4" t="inlineStr">
        <is>
          <t>101–150</t>
        </is>
      </c>
      <c r="O477" s="4" t="inlineStr">
        <is>
          <t>https://www.nirfindia.org/Rankings/2025/OverallRanking150.html</t>
        </is>
      </c>
      <c r="P477" s="4" t="inlineStr">
        <is>
          <t>NIRF 2025, другие категории: Engineering 54, Architecture 4</t>
        </is>
      </c>
    </row>
    <row r="478">
      <c r="A478" s="3" t="inlineStr">
        <is>
          <t>India|Indian Institute of Information Technology Allahabad</t>
        </is>
      </c>
      <c r="B478" s="3" t="inlineStr">
        <is>
          <t>India</t>
        </is>
      </c>
      <c r="C478" s="3" t="inlineStr">
        <is>
          <t>Праяградж (Аллахабад)</t>
        </is>
      </c>
      <c r="D478" s="3" t="inlineStr">
        <is>
          <t>Indian Institute of Information Technology Allahabad</t>
        </is>
      </c>
      <c r="E478" s="3" t="inlineStr">
        <is>
          <t>भारतीय सूचना प्रौद्योगिकी संस्थान इलाहाबाद</t>
        </is>
      </c>
      <c r="F478" s="3" t="inlineStr">
        <is>
          <t>https://www.iiita.ac.in</t>
        </is>
      </c>
      <c r="G478" s="3" t="inlineStr"/>
      <c r="H478" s="3" t="inlineStr"/>
      <c r="I478" s="3" t="inlineStr">
        <is>
          <t>NIRF2025 Engineering: 101-150</t>
        </is>
      </c>
      <c r="J478" s="4" t="inlineStr">
        <is>
          <t>1201–1400</t>
        </is>
      </c>
      <c r="K478" s="4" t="inlineStr">
        <is>
          <t>не в рейтинге</t>
        </is>
      </c>
      <c r="L478" s="4" t="inlineStr">
        <is>
          <t>нет в опубл. списке (опубликован только топ-15 страны)</t>
        </is>
      </c>
      <c r="M478" s="4" t="inlineStr">
        <is>
          <t>NIRF 2025 (Engineering)</t>
        </is>
      </c>
      <c r="N478" s="4" t="inlineStr">
        <is>
          <t>101–150</t>
        </is>
      </c>
      <c r="O478" s="4" t="inlineStr">
        <is>
          <t>https://www.topuniversities.com/world-university-rankings (QS WUR 2027)
https://www.nirfindia.org/Rankings/2025/EngineeringRanking150.html</t>
        </is>
      </c>
      <c r="P478" s="4" t="n"/>
    </row>
    <row r="479">
      <c r="A479" s="3" t="inlineStr">
        <is>
          <t>India|Indian Institute of Science</t>
        </is>
      </c>
      <c r="B479" s="3" t="inlineStr">
        <is>
          <t>India</t>
        </is>
      </c>
      <c r="C479" s="3" t="inlineStr">
        <is>
          <t>Бангалор</t>
        </is>
      </c>
      <c r="D479" s="3" t="inlineStr">
        <is>
          <t>Indian Institute of Science</t>
        </is>
      </c>
      <c r="E479" s="3" t="inlineStr">
        <is>
          <t>भारतीय विज्ञान संस्थान (Bhāratīya Vijñāna Saṃsthāna)</t>
        </is>
      </c>
      <c r="F479" s="3" t="inlineStr">
        <is>
          <t>https://iisc.ac.in</t>
        </is>
      </c>
      <c r="G479" s="3" t="inlineStr">
        <is>
          <t>QS2027: 221</t>
        </is>
      </c>
      <c r="H479" s="3" t="inlineStr">
        <is>
          <t>THE2027: =254</t>
        </is>
      </c>
      <c r="I479" s="3" t="inlineStr">
        <is>
          <t>NIRF2025 University: 1</t>
        </is>
      </c>
      <c r="J479" s="4">
        <f>221</f>
        <v/>
      </c>
      <c r="K479" s="4">
        <f>254</f>
        <v/>
      </c>
      <c r="L479" s="4" t="inlineStr">
        <is>
          <t>640</t>
        </is>
      </c>
      <c r="M479" s="4" t="inlineStr">
        <is>
          <t>NIRF 2025 (Overall)</t>
        </is>
      </c>
      <c r="N479" s="4" t="inlineStr">
        <is>
          <t>2</t>
        </is>
      </c>
      <c r="O47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P479" s="4" t="inlineStr">
        <is>
          <t>QS: в таблице как «Indian Institute of Science (IISc) Bangalore»; NIRF 2025, другие категории: University 1, Research 1, Innovation 3</t>
        </is>
      </c>
    </row>
    <row r="480">
      <c r="A480" s="3" t="inlineStr">
        <is>
          <t>India|Indian Institute of Space Science and Technology (IIST)</t>
        </is>
      </c>
      <c r="B480" s="3" t="inlineStr">
        <is>
          <t>India</t>
        </is>
      </c>
      <c r="C480" s="3" t="inlineStr">
        <is>
          <t>Тируванантапурам</t>
        </is>
      </c>
      <c r="D480" s="3" t="inlineStr">
        <is>
          <t>Indian Institute of Space Science and Technology (IIST)</t>
        </is>
      </c>
      <c r="E480" s="3" t="inlineStr">
        <is>
          <t>भारतीय अंतरिक्ष विज्ञान एवं प्रौद्योगिकी संस्थान</t>
        </is>
      </c>
      <c r="F480" s="3" t="inlineStr">
        <is>
          <t>https://www.iist.ac.in</t>
        </is>
      </c>
      <c r="G480" s="3" t="inlineStr"/>
      <c r="H480" s="3" t="inlineStr"/>
      <c r="I480" s="3" t="inlineStr">
        <is>
          <t>NIRF2025 Engineering: 61</t>
        </is>
      </c>
      <c r="J480" s="4" t="inlineStr">
        <is>
          <t>не в рейтинге</t>
        </is>
      </c>
      <c r="K480" s="4" t="inlineStr">
        <is>
          <t>не в рейтинге</t>
        </is>
      </c>
      <c r="L480" s="4" t="inlineStr">
        <is>
          <t>нет в опубл. списке (опубликован только топ-15 страны)</t>
        </is>
      </c>
      <c r="M480" s="4" t="inlineStr">
        <is>
          <t>NIRF 2025 (Overall)</t>
        </is>
      </c>
      <c r="N480" s="4" t="inlineStr">
        <is>
          <t>151–200</t>
        </is>
      </c>
      <c r="O480" s="4" t="inlineStr">
        <is>
          <t>https://www.nirfindia.org/Rankings/2025/OverallRanking200.html</t>
        </is>
      </c>
      <c r="P480" s="4" t="inlineStr">
        <is>
          <t>NIRF 2025, другие категории: University 101–150, Engineering 61</t>
        </is>
      </c>
    </row>
    <row r="481">
      <c r="A481" s="3" t="inlineStr">
        <is>
          <t>India|Indian Institute of Technology (BHU) Varanasi</t>
        </is>
      </c>
      <c r="B481" s="3" t="inlineStr">
        <is>
          <t>India</t>
        </is>
      </c>
      <c r="C481" s="3" t="inlineStr">
        <is>
          <t>Варанаси</t>
        </is>
      </c>
      <c r="D481" s="3" t="inlineStr">
        <is>
          <t>Indian Institute of Technology (BHU) Varanasi</t>
        </is>
      </c>
      <c r="E481" s="3" t="inlineStr">
        <is>
          <t>भारतीय प्रौद्योगिकी संस्थान (काशी हिन्दू विश्वविद्यालय) वाराणसी</t>
        </is>
      </c>
      <c r="F481" s="3" t="inlineStr">
        <is>
          <t>https://www.iitbhu.ac.in</t>
        </is>
      </c>
      <c r="G481" s="3" t="inlineStr">
        <is>
          <t>QS2027: 510</t>
        </is>
      </c>
      <c r="H481" s="3" t="inlineStr"/>
      <c r="I481" s="3" t="inlineStr">
        <is>
          <t>NIRF2025 Engineering: 10</t>
        </is>
      </c>
      <c r="J481" s="4">
        <f>510</f>
        <v/>
      </c>
      <c r="K481" s="4" t="inlineStr">
        <is>
          <t>не в рейтинге</t>
        </is>
      </c>
      <c r="L481" s="4" t="inlineStr">
        <is>
          <t>нет в опубл. списке (опубликован только топ-15 страны)</t>
        </is>
      </c>
      <c r="M481" s="4" t="inlineStr">
        <is>
          <t>NIRF 2025 (Overall)</t>
        </is>
      </c>
      <c r="N481" s="4" t="inlineStr">
        <is>
          <t>31</t>
        </is>
      </c>
      <c r="O481" s="4" t="inlineStr">
        <is>
          <t>https://www.topuniversities.com/world-university-rankings (QS WUR 2027)
https://www.nirfindia.org/Rankings/2025/OverallRanking.html</t>
        </is>
      </c>
      <c r="P481" s="4" t="inlineStr">
        <is>
          <t>NIRF 2025, другие категории: Engineering 10, Research 22</t>
        </is>
      </c>
    </row>
    <row r="482">
      <c r="A482" s="3" t="inlineStr">
        <is>
          <t>India|Indian Institute of Technology (Indian School of Mines)</t>
        </is>
      </c>
      <c r="B482" s="3" t="inlineStr">
        <is>
          <t>India</t>
        </is>
      </c>
      <c r="C482" s="3" t="inlineStr">
        <is>
          <t>Дханбад</t>
        </is>
      </c>
      <c r="D482" s="3" t="inlineStr">
        <is>
          <t>Indian Institute of Technology (Indian School of Mines)</t>
        </is>
      </c>
      <c r="E482" s="3" t="inlineStr">
        <is>
          <t>भारतीय प्रौद्योगिकी संस्थान (भारतीय खनि विद्यापीठ) धनबाद</t>
        </is>
      </c>
      <c r="F482" s="3" t="inlineStr">
        <is>
          <t>https://www.iitism.ac.in</t>
        </is>
      </c>
      <c r="G482" s="3" t="inlineStr">
        <is>
          <t>QS2027: 701-710</t>
        </is>
      </c>
      <c r="H482" s="3" t="inlineStr"/>
      <c r="I482" s="3" t="inlineStr">
        <is>
          <t>NIRF2025 Engineering: 15</t>
        </is>
      </c>
      <c r="J482" s="4" t="inlineStr">
        <is>
          <t>701–710</t>
        </is>
      </c>
      <c r="K482" s="4" t="inlineStr">
        <is>
          <t>не в рейтинге</t>
        </is>
      </c>
      <c r="L482" s="4" t="inlineStr">
        <is>
          <t>нет в опубл. списке (опубликован только топ-15 страны)</t>
        </is>
      </c>
      <c r="M482" s="4" t="inlineStr">
        <is>
          <t>NIRF 2025 (Overall)</t>
        </is>
      </c>
      <c r="N482" s="4" t="inlineStr">
        <is>
          <t>35</t>
        </is>
      </c>
      <c r="O482" s="4" t="inlineStr">
        <is>
          <t>https://www.topuniversities.com/world-university-rankings (QS WUR 2027)
https://www.nirfindia.org/Rankings/2025/OverallRanking.html</t>
        </is>
      </c>
      <c r="P482" s="4" t="inlineStr">
        <is>
          <t>QS: в таблице как «Indian Institute of Technology (Indian School of Mines), Dhanbad»; NIRF 2025, другие категории: Engineering 15, Research 27, Management 48</t>
        </is>
      </c>
    </row>
    <row r="483">
      <c r="A483" s="3" t="inlineStr">
        <is>
          <t>India|Indian Institute of Technology Bhubaneswar</t>
        </is>
      </c>
      <c r="B483" s="3" t="inlineStr">
        <is>
          <t>India</t>
        </is>
      </c>
      <c r="C483" s="3" t="inlineStr">
        <is>
          <t>Бхубанешвар</t>
        </is>
      </c>
      <c r="D483" s="3" t="inlineStr">
        <is>
          <t>Indian Institute of Technology Bhubaneswar</t>
        </is>
      </c>
      <c r="E483" s="3" t="inlineStr">
        <is>
          <t>भारतीय प्रौद्योगिकी संस्थान भुवनेश्वर</t>
        </is>
      </c>
      <c r="F483" s="3" t="inlineStr">
        <is>
          <t>https://www.iitbbs.ac.in</t>
        </is>
      </c>
      <c r="G483" s="3" t="inlineStr">
        <is>
          <t>QS2027: 1001–1200</t>
        </is>
      </c>
      <c r="H483" s="3" t="inlineStr"/>
      <c r="I483" s="3" t="inlineStr">
        <is>
          <t>NIRF2025 Engineering: 39</t>
        </is>
      </c>
      <c r="J483" s="4" t="inlineStr">
        <is>
          <t>1001–1200</t>
        </is>
      </c>
      <c r="K483" s="4" t="inlineStr">
        <is>
          <t>не в рейтинге</t>
        </is>
      </c>
      <c r="L483" s="4" t="inlineStr">
        <is>
          <t>нет в опубл. списке (опубликован только топ-15 страны)</t>
        </is>
      </c>
      <c r="M483" s="4" t="inlineStr">
        <is>
          <t>NIRF 2025 (Overall)</t>
        </is>
      </c>
      <c r="N483" s="4" t="inlineStr">
        <is>
          <t>80</t>
        </is>
      </c>
      <c r="O483" s="4" t="inlineStr">
        <is>
          <t>https://www.topuniversities.com/world-university-rankings (QS WUR 2027)
https://www.nirfindia.org/Rankings/2025/OverallRanking.html</t>
        </is>
      </c>
      <c r="P483" s="4" t="inlineStr">
        <is>
          <t>NIRF 2025, другие категории: Engineering 39</t>
        </is>
      </c>
    </row>
    <row r="484">
      <c r="A484" s="3" t="inlineStr">
        <is>
          <t>India|Indian Institute of Technology Bombay</t>
        </is>
      </c>
      <c r="B484" s="3" t="inlineStr">
        <is>
          <t>India</t>
        </is>
      </c>
      <c r="C484" s="3" t="inlineStr">
        <is>
          <t>Мумбаи</t>
        </is>
      </c>
      <c r="D484" s="3" t="inlineStr">
        <is>
          <t>Indian Institute of Technology Bombay</t>
        </is>
      </c>
      <c r="E484" s="3" t="inlineStr">
        <is>
          <t>भारतीय प्रौद्योगिकी संस्थान मुंबई</t>
        </is>
      </c>
      <c r="F484" s="3" t="inlineStr">
        <is>
          <t>https://www.iitb.ac.in</t>
        </is>
      </c>
      <c r="G484" s="3" t="inlineStr">
        <is>
          <t>QS2027: 134</t>
        </is>
      </c>
      <c r="H484" s="3" t="inlineStr"/>
      <c r="I484" s="3" t="inlineStr">
        <is>
          <t>NIRF2025 Engineering: 3</t>
        </is>
      </c>
      <c r="J484" s="4">
        <f>134</f>
        <v/>
      </c>
      <c r="K484" s="4" t="inlineStr">
        <is>
          <t>не в рейтинге</t>
        </is>
      </c>
      <c r="L484" s="4" t="inlineStr">
        <is>
          <t>565</t>
        </is>
      </c>
      <c r="M484" s="4" t="inlineStr">
        <is>
          <t>NIRF 2025 (Overall)</t>
        </is>
      </c>
      <c r="N484" s="4" t="inlineStr">
        <is>
          <t>3</t>
        </is>
      </c>
      <c r="O484" s="4" t="inlineStr">
        <is>
          <t>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P484" s="4" t="inlineStr">
        <is>
          <t>NIRF 2025, другие категории: Engineering 3, Research 4, Management 14, Innovation 2</t>
        </is>
      </c>
    </row>
    <row r="485">
      <c r="A485" s="3" t="inlineStr">
        <is>
          <t>India|Indian Institute of Technology Delhi</t>
        </is>
      </c>
      <c r="B485" s="3" t="inlineStr">
        <is>
          <t>India</t>
        </is>
      </c>
      <c r="C485" s="3" t="inlineStr">
        <is>
          <t>Нью-Дели</t>
        </is>
      </c>
      <c r="D485" s="3" t="inlineStr">
        <is>
          <t>Indian Institute of Technology Delhi</t>
        </is>
      </c>
      <c r="E485" s="3" t="inlineStr">
        <is>
          <t>भारतीय प्रौद्योगिकी संस्थान दिल्ली</t>
        </is>
      </c>
      <c r="F485" s="3" t="inlineStr">
        <is>
          <t>https://home.iitd.ac.in</t>
        </is>
      </c>
      <c r="G485" s="3" t="inlineStr">
        <is>
          <t>QS2027: 118</t>
        </is>
      </c>
      <c r="H485" s="3" t="inlineStr"/>
      <c r="I485" s="3" t="inlineStr">
        <is>
          <t>NIRF2025 Engineering: 2</t>
        </is>
      </c>
      <c r="J485" s="4" t="inlineStr">
        <is>
          <t>118</t>
        </is>
      </c>
      <c r="K485" s="4" t="inlineStr">
        <is>
          <t>не в рейтинге</t>
        </is>
      </c>
      <c r="L485" s="4" t="inlineStr">
        <is>
          <t>548</t>
        </is>
      </c>
      <c r="M485" s="4" t="inlineStr">
        <is>
          <t>NIRF 2025 (Overall)</t>
        </is>
      </c>
      <c r="N485" s="4" t="inlineStr">
        <is>
          <t>4</t>
        </is>
      </c>
      <c r="O485" s="4" t="inlineStr">
        <is>
          <t>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P485" s="4" t="inlineStr">
        <is>
          <t>Webometrics: сопоставлено по домену iitd.ac.in; NIRF 2025, другие категории: Engineering 2, Research 3, Management 4, Innovation 7</t>
        </is>
      </c>
    </row>
    <row r="486">
      <c r="A486" s="3" t="inlineStr">
        <is>
          <t>India|Indian Institute of Technology Dharwad</t>
        </is>
      </c>
      <c r="B486" s="3" t="inlineStr">
        <is>
          <t>India</t>
        </is>
      </c>
      <c r="C486" s="3" t="inlineStr">
        <is>
          <t>Дхарвад</t>
        </is>
      </c>
      <c r="D486" s="3" t="inlineStr">
        <is>
          <t>Indian Institute of Technology Dharwad</t>
        </is>
      </c>
      <c r="E486" s="3" t="inlineStr">
        <is>
          <t>भारतीय प्रौद्योगिकी संस्थान धारवाड़</t>
        </is>
      </c>
      <c r="F486" s="3" t="inlineStr">
        <is>
          <t>https://www.iitdh.ac.in</t>
        </is>
      </c>
      <c r="G486" s="3" t="inlineStr"/>
      <c r="H486" s="3" t="inlineStr"/>
      <c r="I486" s="3" t="inlineStr">
        <is>
          <t>NIRF2025 Engineering: 77</t>
        </is>
      </c>
      <c r="J486" s="4" t="inlineStr">
        <is>
          <t>не в рейтинге</t>
        </is>
      </c>
      <c r="K486" s="4" t="inlineStr">
        <is>
          <t>не в рейтинге</t>
        </is>
      </c>
      <c r="L486" s="4" t="inlineStr">
        <is>
          <t>нет в опубл. списке (опубликован только топ-15 страны)</t>
        </is>
      </c>
      <c r="M486" s="4" t="inlineStr">
        <is>
          <t>NIRF 2025 (Engineering)</t>
        </is>
      </c>
      <c r="N486" s="4" t="inlineStr">
        <is>
          <t>77</t>
        </is>
      </c>
      <c r="O486" s="4" t="inlineStr">
        <is>
          <t>https://www.nirfindia.org/Rankings/2025/EngineeringRanking.html</t>
        </is>
      </c>
      <c r="P486" s="4" t="n"/>
    </row>
    <row r="487">
      <c r="A487" s="3" t="inlineStr">
        <is>
          <t>India|Indian Institute of Technology Goa</t>
        </is>
      </c>
      <c r="B487" s="3" t="inlineStr">
        <is>
          <t>India</t>
        </is>
      </c>
      <c r="C487" s="3" t="inlineStr">
        <is>
          <t>Понда (Гоа)</t>
        </is>
      </c>
      <c r="D487" s="3" t="inlineStr">
        <is>
          <t>Indian Institute of Technology Goa</t>
        </is>
      </c>
      <c r="E487" s="3" t="inlineStr">
        <is>
          <t>भारतीय प्रौद्योगिकी संस्थान गोवा</t>
        </is>
      </c>
      <c r="F487" s="3" t="inlineStr">
        <is>
          <t>https://iitgoa.ac.in</t>
        </is>
      </c>
      <c r="G487" s="3" t="inlineStr"/>
      <c r="H487" s="3" t="inlineStr"/>
      <c r="I487" s="3" t="inlineStr">
        <is>
          <t>NIRF2025 Engineering: 101-150</t>
        </is>
      </c>
      <c r="J487" s="4" t="inlineStr">
        <is>
          <t>не в рейтинге</t>
        </is>
      </c>
      <c r="K487" s="4" t="inlineStr">
        <is>
          <t>не в рейтинге</t>
        </is>
      </c>
      <c r="L487" s="4" t="inlineStr">
        <is>
          <t>нет в опубл. списке (опубликован только топ-15 страны)</t>
        </is>
      </c>
      <c r="M487" s="4" t="inlineStr">
        <is>
          <t>NIRF 2025 (Engineering)</t>
        </is>
      </c>
      <c r="N487" s="4" t="inlineStr">
        <is>
          <t>101–150</t>
        </is>
      </c>
      <c r="O487" s="4" t="inlineStr">
        <is>
          <t>https://www.nirfindia.org/Rankings/2025/EngineeringRanking150.html</t>
        </is>
      </c>
      <c r="P487" s="4" t="n"/>
    </row>
    <row r="488">
      <c r="A488" s="3" t="inlineStr">
        <is>
          <t>India|Indian Institute of Technology Guwahati</t>
        </is>
      </c>
      <c r="B488" s="3" t="inlineStr">
        <is>
          <t>India</t>
        </is>
      </c>
      <c r="C488" s="3" t="inlineStr">
        <is>
          <t>Гувахати</t>
        </is>
      </c>
      <c r="D488" s="3" t="inlineStr">
        <is>
          <t>Indian Institute of Technology Guwahati</t>
        </is>
      </c>
      <c r="E488" s="3" t="inlineStr">
        <is>
          <t>भारतीय प्रौद्योगिकी संस्थान गुवाहाटी</t>
        </is>
      </c>
      <c r="F488" s="3" t="inlineStr">
        <is>
          <t>https://www.iitg.ac.in</t>
        </is>
      </c>
      <c r="G488" s="3" t="inlineStr">
        <is>
          <t>QS2027: 349</t>
        </is>
      </c>
      <c r="H488" s="3" t="inlineStr"/>
      <c r="I488" s="3" t="inlineStr">
        <is>
          <t>NIRF2025 Engineering: 8</t>
        </is>
      </c>
      <c r="J488" s="4">
        <f>349</f>
        <v/>
      </c>
      <c r="K488" s="4" t="inlineStr">
        <is>
          <t>не в рейтинге</t>
        </is>
      </c>
      <c r="L488" s="4" t="inlineStr">
        <is>
          <t>нет в опубл. списке (опубликован только топ-15 страны)</t>
        </is>
      </c>
      <c r="M488" s="4" t="inlineStr">
        <is>
          <t>NIRF 2025 (Overall)</t>
        </is>
      </c>
      <c r="N488" s="4" t="inlineStr">
        <is>
          <t>11</t>
        </is>
      </c>
      <c r="O488" s="4" t="inlineStr">
        <is>
          <t>https://www.topuniversities.com/world-university-rankings (QS WUR 2027)
https://www.nirfindia.org/Rankings/2025/OverallRanking.html</t>
        </is>
      </c>
      <c r="P488" s="4" t="inlineStr">
        <is>
          <t>NIRF 2025, другие категории: Engineering 8, Research 10</t>
        </is>
      </c>
    </row>
    <row r="489">
      <c r="A489" s="3" t="inlineStr">
        <is>
          <t>India|Indian Institute of Technology Hyderabad</t>
        </is>
      </c>
      <c r="B489" s="3" t="inlineStr">
        <is>
          <t>India</t>
        </is>
      </c>
      <c r="C489" s="3" t="inlineStr">
        <is>
          <t>Хайдарабад (Канди, округ Сангаредди)</t>
        </is>
      </c>
      <c r="D489" s="3" t="inlineStr">
        <is>
          <t>Indian Institute of Technology Hyderabad</t>
        </is>
      </c>
      <c r="E489" s="3" t="inlineStr">
        <is>
          <t>भारतीय प्रौद्योगिकी संस्थान हैदराबाद</t>
        </is>
      </c>
      <c r="F489" s="3" t="inlineStr">
        <is>
          <t>https://www.iith.ac.in</t>
        </is>
      </c>
      <c r="G489" s="3" t="inlineStr">
        <is>
          <t>QS2027: 588</t>
        </is>
      </c>
      <c r="H489" s="3" t="inlineStr"/>
      <c r="I489" s="3" t="inlineStr">
        <is>
          <t>NIRF2025 Engineering: 7</t>
        </is>
      </c>
      <c r="J489" s="4">
        <f>588</f>
        <v/>
      </c>
      <c r="K489" s="4" t="inlineStr">
        <is>
          <t>не в рейтинге</t>
        </is>
      </c>
      <c r="L489" s="4" t="inlineStr">
        <is>
          <t>нет в опубл. списке (опубликован только топ-15 страны)</t>
        </is>
      </c>
      <c r="M489" s="4" t="inlineStr">
        <is>
          <t>NIRF 2025 (Overall)</t>
        </is>
      </c>
      <c r="N489" s="4" t="inlineStr">
        <is>
          <t>12</t>
        </is>
      </c>
      <c r="O489" s="4" t="inlineStr">
        <is>
          <t>https://www.topuniversities.com/world-university-rankings (QS WUR 2027)
https://www.nirfindia.org/Rankings/2025/OverallRanking.html</t>
        </is>
      </c>
      <c r="P489" s="4" t="inlineStr">
        <is>
          <t>NIRF 2025, другие категории: Engineering 7, Research 15, Innovation 6</t>
        </is>
      </c>
    </row>
    <row r="490">
      <c r="A490" s="3" t="inlineStr">
        <is>
          <t>India|Indian Institute of Technology Indore</t>
        </is>
      </c>
      <c r="B490" s="3" t="inlineStr">
        <is>
          <t>India</t>
        </is>
      </c>
      <c r="C490" s="3" t="inlineStr">
        <is>
          <t>Индор</t>
        </is>
      </c>
      <c r="D490" s="3" t="inlineStr">
        <is>
          <t>Indian Institute of Technology Indore</t>
        </is>
      </c>
      <c r="E490" s="3" t="inlineStr">
        <is>
          <t>भारतीय प्रौद्योगिकी संस्थान इंदौर</t>
        </is>
      </c>
      <c r="F490" s="3" t="inlineStr">
        <is>
          <t>https://www.iiti.ac.in</t>
        </is>
      </c>
      <c r="G490" s="3" t="inlineStr">
        <is>
          <t>QS2027: 546</t>
        </is>
      </c>
      <c r="H490" s="3" t="inlineStr">
        <is>
          <t>THE2027: 651–700</t>
        </is>
      </c>
      <c r="I490" s="3" t="inlineStr">
        <is>
          <t>NIRF2025 Engineering: 12</t>
        </is>
      </c>
      <c r="J490" s="4">
        <f>546</f>
        <v/>
      </c>
      <c r="K490" s="4" t="inlineStr">
        <is>
          <t>651–700</t>
        </is>
      </c>
      <c r="L490" s="4" t="inlineStr">
        <is>
          <t>нет в опубл. списке (опубликован только топ-15 страны)</t>
        </is>
      </c>
      <c r="M490" s="4" t="inlineStr">
        <is>
          <t>NIRF 2025 (Overall)</t>
        </is>
      </c>
      <c r="N490" s="4" t="inlineStr">
        <is>
          <t>27</t>
        </is>
      </c>
      <c r="O490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490" s="4" t="inlineStr">
        <is>
          <t>NIRF 2025, другие категории: Engineering 12, Research 24</t>
        </is>
      </c>
    </row>
    <row r="491">
      <c r="A491" s="3" t="inlineStr">
        <is>
          <t>India|Indian Institute of Technology Jammu</t>
        </is>
      </c>
      <c r="B491" s="3" t="inlineStr">
        <is>
          <t>India</t>
        </is>
      </c>
      <c r="C491" s="3" t="inlineStr">
        <is>
          <t>Джамму</t>
        </is>
      </c>
      <c r="D491" s="3" t="inlineStr">
        <is>
          <t>Indian Institute of Technology Jammu</t>
        </is>
      </c>
      <c r="E491" s="3" t="inlineStr"/>
      <c r="F491" s="3" t="inlineStr">
        <is>
          <t>https://www.iitjammu.ac.in</t>
        </is>
      </c>
      <c r="G491" s="3" t="inlineStr"/>
      <c r="H491" s="3" t="inlineStr"/>
      <c r="I491" s="3" t="inlineStr">
        <is>
          <t>NIRF2025 Engineering: 56</t>
        </is>
      </c>
      <c r="J491" s="4" t="inlineStr">
        <is>
          <t>не в рейтинге</t>
        </is>
      </c>
      <c r="K491" s="4" t="inlineStr">
        <is>
          <t>не в рейтинге</t>
        </is>
      </c>
      <c r="L491" s="4" t="inlineStr">
        <is>
          <t>нет в опубл. списке (опубликован только топ-15 страны)</t>
        </is>
      </c>
      <c r="M491" s="4" t="inlineStr">
        <is>
          <t>NIRF 2025 (Engineering)</t>
        </is>
      </c>
      <c r="N491" s="4" t="inlineStr">
        <is>
          <t>56</t>
        </is>
      </c>
      <c r="O491" s="4" t="inlineStr">
        <is>
          <t>https://www.nirfindia.org/Rankings/2025/EngineeringRanking.html</t>
        </is>
      </c>
      <c r="P491" s="4" t="n"/>
    </row>
    <row r="492">
      <c r="A492" s="3" t="inlineStr">
        <is>
          <t>India|Indian Institute of Technology Kanpur</t>
        </is>
      </c>
      <c r="B492" s="3" t="inlineStr">
        <is>
          <t>India</t>
        </is>
      </c>
      <c r="C492" s="3" t="inlineStr">
        <is>
          <t>Канпур</t>
        </is>
      </c>
      <c r="D492" s="3" t="inlineStr">
        <is>
          <t>Indian Institute of Technology Kanpur</t>
        </is>
      </c>
      <c r="E492" s="3" t="inlineStr">
        <is>
          <t>भारतीय प्रौद्योगिकी संस्थान कानपुर</t>
        </is>
      </c>
      <c r="F492" s="3" t="inlineStr">
        <is>
          <t>https://www.iitk.ac.in</t>
        </is>
      </c>
      <c r="G492" s="3" t="inlineStr">
        <is>
          <t>QS2027: =221</t>
        </is>
      </c>
      <c r="H492" s="3" t="inlineStr"/>
      <c r="I492" s="3" t="inlineStr">
        <is>
          <t>NIRF2025 Engineering: 4</t>
        </is>
      </c>
      <c r="J492" s="4">
        <f>221</f>
        <v/>
      </c>
      <c r="K492" s="4" t="inlineStr">
        <is>
          <t>не в рейтинге</t>
        </is>
      </c>
      <c r="L492" s="4" t="inlineStr">
        <is>
          <t>669</t>
        </is>
      </c>
      <c r="M492" s="4" t="inlineStr">
        <is>
          <t>NIRF 2025 (Overall)</t>
        </is>
      </c>
      <c r="N492" s="4" t="inlineStr">
        <is>
          <t>5</t>
        </is>
      </c>
      <c r="O492" s="4" t="inlineStr">
        <is>
          <t>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P492" s="4" t="inlineStr">
        <is>
          <t>NIRF 2025, другие категории: Engineering 4, Research 6, Management 27, Innovation 5</t>
        </is>
      </c>
    </row>
    <row r="493">
      <c r="A493" s="3" t="inlineStr">
        <is>
          <t>India|Indian Institute of Technology Madras</t>
        </is>
      </c>
      <c r="B493" s="3" t="inlineStr">
        <is>
          <t>India</t>
        </is>
      </c>
      <c r="C493" s="3" t="inlineStr">
        <is>
          <t>Ченнаи</t>
        </is>
      </c>
      <c r="D493" s="3" t="inlineStr">
        <is>
          <t>Indian Institute of Technology Madras</t>
        </is>
      </c>
      <c r="E493" s="3" t="inlineStr">
        <is>
          <t>भारतीय प्रौद्योगिकी संस्थान मद्रास / இந்திய தொழில்நுட்பக் கழகம் சென்னை</t>
        </is>
      </c>
      <c r="F493" s="3" t="inlineStr">
        <is>
          <t>https://www.iitm.ac.in</t>
        </is>
      </c>
      <c r="G493" s="3" t="inlineStr">
        <is>
          <t>QS2027: 171</t>
        </is>
      </c>
      <c r="H493" s="3" t="inlineStr"/>
      <c r="I493" s="3" t="inlineStr">
        <is>
          <t>NIRF2025 Engineering: 1</t>
        </is>
      </c>
      <c r="J493" s="4" t="inlineStr">
        <is>
          <t>170</t>
        </is>
      </c>
      <c r="K493" s="4" t="inlineStr">
        <is>
          <t>не в рейтинге</t>
        </is>
      </c>
      <c r="L493" s="4" t="inlineStr">
        <is>
          <t>562</t>
        </is>
      </c>
      <c r="M493" s="4" t="inlineStr">
        <is>
          <t>NIRF 2025 (Overall)</t>
        </is>
      </c>
      <c r="N493" s="4" t="inlineStr">
        <is>
          <t>1</t>
        </is>
      </c>
      <c r="O493" s="4" t="inlineStr">
        <is>
          <t>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P493" s="4" t="inlineStr">
        <is>
          <t>QS: в столбце G было 171, в таблице QS 2027 сейчас 170; NIRF 2025, другие категории: Engineering 1, Research 2, Management 13, Innovation 1</t>
        </is>
      </c>
    </row>
    <row r="494">
      <c r="A494" s="3" t="inlineStr">
        <is>
          <t>India|Indian Institute of Technology Mandi</t>
        </is>
      </c>
      <c r="B494" s="3" t="inlineStr">
        <is>
          <t>India</t>
        </is>
      </c>
      <c r="C494" s="3" t="inlineStr">
        <is>
          <t>Манди</t>
        </is>
      </c>
      <c r="D494" s="3" t="inlineStr">
        <is>
          <t>Indian Institute of Technology Mandi</t>
        </is>
      </c>
      <c r="E494" s="3" t="inlineStr">
        <is>
          <t>भारतीय प्रौद्योगिकी संस्थान मंडी</t>
        </is>
      </c>
      <c r="F494" s="3" t="inlineStr">
        <is>
          <t>https://www.iitmandi.ac.in</t>
        </is>
      </c>
      <c r="G494" s="3" t="inlineStr"/>
      <c r="H494" s="3" t="inlineStr">
        <is>
          <t>THE2027: 801–1000</t>
        </is>
      </c>
      <c r="I494" s="3" t="inlineStr">
        <is>
          <t>NIRF2025 Engineering: 26</t>
        </is>
      </c>
      <c r="J494" s="4" t="inlineStr">
        <is>
          <t>не в рейтинге</t>
        </is>
      </c>
      <c r="K494" s="4" t="inlineStr">
        <is>
          <t>801–1000</t>
        </is>
      </c>
      <c r="L494" s="4" t="inlineStr">
        <is>
          <t>нет в опубл. списке (опубликован только топ-15 страны)</t>
        </is>
      </c>
      <c r="M494" s="4" t="inlineStr">
        <is>
          <t>NIRF 2025 (Overall)</t>
        </is>
      </c>
      <c r="N494" s="4" t="inlineStr">
        <is>
          <t>58</t>
        </is>
      </c>
      <c r="O494" s="4" t="inlineStr">
        <is>
          <t>https://www.timeshighereducation.com/world-university-rankings/2027/world-ranking
https://www.nirfindia.org/Rankings/2025/OverallRanking.html</t>
        </is>
      </c>
      <c r="P494" s="4" t="inlineStr">
        <is>
          <t>NIRF 2025, другие категории: Engineering 26, Innovation 10</t>
        </is>
      </c>
    </row>
    <row r="495">
      <c r="A495" s="3" t="inlineStr">
        <is>
          <t>India|Indian Institute of Technology Palakkad</t>
        </is>
      </c>
      <c r="B495" s="3" t="inlineStr">
        <is>
          <t>India</t>
        </is>
      </c>
      <c r="C495" s="3" t="inlineStr">
        <is>
          <t>Палаккад</t>
        </is>
      </c>
      <c r="D495" s="3" t="inlineStr">
        <is>
          <t>Indian Institute of Technology Palakkad</t>
        </is>
      </c>
      <c r="E495" s="3" t="inlineStr">
        <is>
          <t>भारतीय प्रौद्योगिकी संस्थान पालक्काड</t>
        </is>
      </c>
      <c r="F495" s="3" t="inlineStr">
        <is>
          <t>https://iitpkd.ac.in</t>
        </is>
      </c>
      <c r="G495" s="3" t="inlineStr"/>
      <c r="H495" s="3" t="inlineStr"/>
      <c r="I495" s="3" t="inlineStr">
        <is>
          <t>NIRF2025 Engineering: 64</t>
        </is>
      </c>
      <c r="J495" s="4" t="inlineStr">
        <is>
          <t>не в рейтинге</t>
        </is>
      </c>
      <c r="K495" s="4" t="inlineStr">
        <is>
          <t>не в рейтинге</t>
        </is>
      </c>
      <c r="L495" s="4" t="inlineStr">
        <is>
          <t>нет в опубл. списке (опубликован только топ-15 страны)</t>
        </is>
      </c>
      <c r="M495" s="4" t="inlineStr">
        <is>
          <t>NIRF 2025 (Overall)</t>
        </is>
      </c>
      <c r="N495" s="4" t="inlineStr">
        <is>
          <t>101–150</t>
        </is>
      </c>
      <c r="O495" s="4" t="inlineStr">
        <is>
          <t>https://www.nirfindia.org/Rankings/2025/OverallRanking150.html</t>
        </is>
      </c>
      <c r="P495" s="4" t="inlineStr">
        <is>
          <t>NIRF 2025, другие категории: Engineering 64</t>
        </is>
      </c>
    </row>
    <row r="496">
      <c r="A496" s="3" t="inlineStr">
        <is>
          <t>India|Indian Institute of Technology Patna</t>
        </is>
      </c>
      <c r="B496" s="3" t="inlineStr">
        <is>
          <t>India</t>
        </is>
      </c>
      <c r="C496" s="3" t="inlineStr">
        <is>
          <t>Патна</t>
        </is>
      </c>
      <c r="D496" s="3" t="inlineStr">
        <is>
          <t>Indian Institute of Technology Patna</t>
        </is>
      </c>
      <c r="E496" s="3" t="inlineStr">
        <is>
          <t>भारतीय प्रौद्योगिकी संस्थान पटना</t>
        </is>
      </c>
      <c r="F496" s="3" t="inlineStr">
        <is>
          <t>https://www.iitp.ac.in</t>
        </is>
      </c>
      <c r="G496" s="3" t="inlineStr"/>
      <c r="H496" s="3" t="inlineStr">
        <is>
          <t>THE2027: 701-800</t>
        </is>
      </c>
      <c r="I496" s="3" t="inlineStr">
        <is>
          <t>NIRF2025 Engineering: 19</t>
        </is>
      </c>
      <c r="J496" s="4" t="inlineStr">
        <is>
          <t>не в рейтинге</t>
        </is>
      </c>
      <c r="K496" s="4" t="inlineStr">
        <is>
          <t>701–800</t>
        </is>
      </c>
      <c r="L496" s="4" t="inlineStr">
        <is>
          <t>нет в опубл. списке (опубликован только топ-15 страны)</t>
        </is>
      </c>
      <c r="M496" s="4" t="inlineStr">
        <is>
          <t>NIRF 2025 (Overall)</t>
        </is>
      </c>
      <c r="N496" s="4" t="inlineStr">
        <is>
          <t>36</t>
        </is>
      </c>
      <c r="O496" s="4" t="inlineStr">
        <is>
          <t>https://www.timeshighereducation.com/world-university-rankings/2027/world-ranking
https://www.nirfindia.org/Rankings/2025/OverallRanking.html</t>
        </is>
      </c>
      <c r="P496" s="4" t="inlineStr">
        <is>
          <t>NIRF 2025, другие категории: Engineering 19, Research 39</t>
        </is>
      </c>
    </row>
    <row r="497">
      <c r="A497" s="3" t="inlineStr">
        <is>
          <t>India|Indian Institute of Technology Roorkee</t>
        </is>
      </c>
      <c r="B497" s="3" t="inlineStr">
        <is>
          <t>India</t>
        </is>
      </c>
      <c r="C497" s="3" t="inlineStr">
        <is>
          <t>Рурки</t>
        </is>
      </c>
      <c r="D497" s="3" t="inlineStr">
        <is>
          <t>Indian Institute of Technology Roorkee</t>
        </is>
      </c>
      <c r="E497" s="3" t="inlineStr">
        <is>
          <t>भारतीय प्रौद्योगिकी संस्थान रुड़की</t>
        </is>
      </c>
      <c r="F497" s="3" t="inlineStr">
        <is>
          <t>https://iitr.ac.in</t>
        </is>
      </c>
      <c r="G497" s="3" t="inlineStr">
        <is>
          <t>QS2027: 335</t>
        </is>
      </c>
      <c r="H497" s="3" t="inlineStr"/>
      <c r="I497" s="3" t="inlineStr">
        <is>
          <t>NIRF2025 Engineering: 6</t>
        </is>
      </c>
      <c r="J497" s="4">
        <f>335</f>
        <v/>
      </c>
      <c r="K497" s="4" t="inlineStr">
        <is>
          <t>не в рейтинге</t>
        </is>
      </c>
      <c r="L497" s="4" t="inlineStr">
        <is>
          <t>740</t>
        </is>
      </c>
      <c r="M497" s="4" t="inlineStr">
        <is>
          <t>NIRF 2025 (Overall)</t>
        </is>
      </c>
      <c r="N497" s="4" t="inlineStr">
        <is>
          <t>7</t>
        </is>
      </c>
      <c r="O497" s="4" t="inlineStr">
        <is>
          <t>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P497" s="4" t="inlineStr">
        <is>
          <t>NIRF 2025, другие категории: Engineering 6, Research 8, Management 22, Architecture 1, Innovation 8</t>
        </is>
      </c>
    </row>
    <row r="498">
      <c r="A498" s="3" t="inlineStr">
        <is>
          <t>India|Indian Institute of Technology Ropar</t>
        </is>
      </c>
      <c r="B498" s="3" t="inlineStr">
        <is>
          <t>India</t>
        </is>
      </c>
      <c r="C498" s="3" t="inlineStr">
        <is>
          <t>Рупнагар (Ропар)</t>
        </is>
      </c>
      <c r="D498" s="3" t="inlineStr">
        <is>
          <t>Indian Institute of Technology Ropar</t>
        </is>
      </c>
      <c r="E498" s="3" t="inlineStr">
        <is>
          <t>भारतीय प्रौद्योगिकी संस्थान रोपड़</t>
        </is>
      </c>
      <c r="F498" s="3" t="inlineStr">
        <is>
          <t>https://www.iitrpr.ac.in</t>
        </is>
      </c>
      <c r="G498" s="3" t="inlineStr"/>
      <c r="H498" s="3" t="inlineStr">
        <is>
          <t>THE2027: 1001-1200</t>
        </is>
      </c>
      <c r="I498" s="3" t="inlineStr">
        <is>
          <t>NIRF2025 Engineering: 32</t>
        </is>
      </c>
      <c r="J498" s="4" t="inlineStr">
        <is>
          <t>не в рейтинге</t>
        </is>
      </c>
      <c r="K498" s="4" t="inlineStr">
        <is>
          <t>1001–1200</t>
        </is>
      </c>
      <c r="L498" s="4" t="inlineStr">
        <is>
          <t>нет в опубл. списке (опубликован только топ-15 страны)</t>
        </is>
      </c>
      <c r="M498" s="4" t="inlineStr">
        <is>
          <t>NIRF 2025 (Overall)</t>
        </is>
      </c>
      <c r="N498" s="4" t="inlineStr">
        <is>
          <t>56</t>
        </is>
      </c>
      <c r="O498" s="4" t="inlineStr">
        <is>
          <t>https://www.timeshighereducation.com/world-university-rankings/2027/world-ranking
https://www.nirfindia.org/Rankings/2025/OverallRanking.html</t>
        </is>
      </c>
      <c r="P498" s="4" t="inlineStr">
        <is>
          <t>NIRF 2025, другие категории: Engineering 32, Research 47</t>
        </is>
      </c>
    </row>
    <row r="499">
      <c r="A499" s="3" t="inlineStr">
        <is>
          <t>India|Indian Institute of Technology Tirupati</t>
        </is>
      </c>
      <c r="B499" s="3" t="inlineStr">
        <is>
          <t>India</t>
        </is>
      </c>
      <c r="C499" s="3" t="inlineStr">
        <is>
          <t>Тирупати</t>
        </is>
      </c>
      <c r="D499" s="3" t="inlineStr">
        <is>
          <t>Indian Institute of Technology Tirupati</t>
        </is>
      </c>
      <c r="E499" s="3" t="inlineStr">
        <is>
          <t>भारतीय प्रौद्योगिकी संस्थान तिरुपति</t>
        </is>
      </c>
      <c r="F499" s="3" t="inlineStr">
        <is>
          <t>https://www.iittp.ac.in</t>
        </is>
      </c>
      <c r="G499" s="3" t="inlineStr"/>
      <c r="H499" s="3" t="inlineStr"/>
      <c r="I499" s="3" t="inlineStr">
        <is>
          <t>NIRF2025 Engineering: 57</t>
        </is>
      </c>
      <c r="J499" s="4" t="inlineStr">
        <is>
          <t>не в рейтинге</t>
        </is>
      </c>
      <c r="K499" s="4" t="inlineStr">
        <is>
          <t>не в рейтинге</t>
        </is>
      </c>
      <c r="L499" s="4" t="inlineStr">
        <is>
          <t>нет в опубл. списке (опубликован только топ-15 страны)</t>
        </is>
      </c>
      <c r="M499" s="4" t="inlineStr">
        <is>
          <t>NIRF 2025 (Overall)</t>
        </is>
      </c>
      <c r="N499" s="4" t="inlineStr">
        <is>
          <t>151–200</t>
        </is>
      </c>
      <c r="O499" s="4" t="inlineStr">
        <is>
          <t>https://www.nirfindia.org/Rankings/2025/OverallRanking200.html</t>
        </is>
      </c>
      <c r="P499" s="4" t="inlineStr">
        <is>
          <t>NIRF 2025, другие категории: Engineering 57</t>
        </is>
      </c>
    </row>
    <row r="500">
      <c r="A500" s="3" t="inlineStr">
        <is>
          <t>India|International Institute of Information Technology Bangalore</t>
        </is>
      </c>
      <c r="B500" s="3" t="inlineStr">
        <is>
          <t>India</t>
        </is>
      </c>
      <c r="C500" s="3" t="inlineStr">
        <is>
          <t>Бангалор</t>
        </is>
      </c>
      <c r="D500" s="3" t="inlineStr">
        <is>
          <t>International Institute of Information Technology Bangalore</t>
        </is>
      </c>
      <c r="E500" s="3" t="inlineStr">
        <is>
          <t>International Institute of Information Technology Bangalore (IIIT-Bangalore)</t>
        </is>
      </c>
      <c r="F500" s="3" t="inlineStr">
        <is>
          <t>https://www.iiitb.ac.in</t>
        </is>
      </c>
      <c r="G500" s="3" t="inlineStr"/>
      <c r="H500" s="3" t="inlineStr"/>
      <c r="I500" s="3" t="inlineStr">
        <is>
          <t>NIRF2025 Engineering: 69</t>
        </is>
      </c>
      <c r="J500" s="4" t="inlineStr">
        <is>
          <t>не в рейтинге</t>
        </is>
      </c>
      <c r="K500" s="4" t="inlineStr">
        <is>
          <t>не в рейтинге</t>
        </is>
      </c>
      <c r="L500" s="4" t="inlineStr">
        <is>
          <t>нет в опубл. списке (опубликован только топ-15 страны)</t>
        </is>
      </c>
      <c r="M500" s="4" t="inlineStr">
        <is>
          <t>NIRF 2025 (Engineering)</t>
        </is>
      </c>
      <c r="N500" s="4" t="inlineStr">
        <is>
          <t>69</t>
        </is>
      </c>
      <c r="O500" s="4" t="inlineStr">
        <is>
          <t>https://www.nirfindia.org/Rankings/2025/EngineeringRanking.html</t>
        </is>
      </c>
      <c r="P500" s="4" t="n"/>
    </row>
    <row r="501">
      <c r="A501" s="3" t="inlineStr">
        <is>
          <t>India|International Institute of Information Technology Hyderabad</t>
        </is>
      </c>
      <c r="B501" s="3" t="inlineStr">
        <is>
          <t>India</t>
        </is>
      </c>
      <c r="C501" s="3" t="inlineStr">
        <is>
          <t>Хайдарабад</t>
        </is>
      </c>
      <c r="D501" s="3" t="inlineStr">
        <is>
          <t>International Institute of Information Technology Hyderabad</t>
        </is>
      </c>
      <c r="E501" s="3" t="inlineStr">
        <is>
          <t>International Institute of Information Technology, Hyderabad (IIIT-H)</t>
        </is>
      </c>
      <c r="F501" s="3" t="inlineStr">
        <is>
          <t>https://www.iiit.ac.in</t>
        </is>
      </c>
      <c r="G501" s="3" t="inlineStr"/>
      <c r="H501" s="3" t="inlineStr">
        <is>
          <t>THE2027: 701-800</t>
        </is>
      </c>
      <c r="I501" s="3" t="inlineStr">
        <is>
          <t>NIRF2025 Engineering: 38</t>
        </is>
      </c>
      <c r="J501" s="4" t="inlineStr">
        <is>
          <t>не в рейтинге</t>
        </is>
      </c>
      <c r="K501" s="4" t="inlineStr">
        <is>
          <t>701–800</t>
        </is>
      </c>
      <c r="L501" s="4" t="inlineStr">
        <is>
          <t>нет в опубл. списке (опубликован только топ-15 страны)</t>
        </is>
      </c>
      <c r="M501" s="4" t="inlineStr">
        <is>
          <t>NIRF 2025 (Overall)</t>
        </is>
      </c>
      <c r="N501" s="4" t="inlineStr">
        <is>
          <t>89</t>
        </is>
      </c>
      <c r="O501" s="4" t="inlineStr">
        <is>
          <t>https://www.timeshighereducation.com/world-university-rankings/2027/world-ranking
https://www.nirfindia.org/Rankings/2025/OverallRanking.html</t>
        </is>
      </c>
      <c r="P501" s="4" t="inlineStr">
        <is>
          <t>NIRF 2025, другие категории: University 55, Engineering 38</t>
        </is>
      </c>
    </row>
    <row r="502">
      <c r="A502" s="3" t="inlineStr">
        <is>
          <t>India|JSS Academy of Higher Education and Research</t>
        </is>
      </c>
      <c r="B502" s="3" t="inlineStr">
        <is>
          <t>India</t>
        </is>
      </c>
      <c r="C502" s="3" t="inlineStr">
        <is>
          <t>Майсур</t>
        </is>
      </c>
      <c r="D502" s="3" t="inlineStr">
        <is>
          <t>JSS Academy of Higher Education and Research</t>
        </is>
      </c>
      <c r="E502" s="3" t="inlineStr"/>
      <c r="F502" s="3" t="inlineStr">
        <is>
          <t>https://jssuni.edu.in</t>
        </is>
      </c>
      <c r="G502" s="3" t="inlineStr"/>
      <c r="H502" s="3" t="inlineStr">
        <is>
          <t>THE2027: 701–800</t>
        </is>
      </c>
      <c r="I502" s="3" t="inlineStr">
        <is>
          <t>NIRF2025 University: 21</t>
        </is>
      </c>
      <c r="J502" s="4" t="inlineStr">
        <is>
          <t>не в рейтинге</t>
        </is>
      </c>
      <c r="K502" s="4" t="inlineStr">
        <is>
          <t>701–800</t>
        </is>
      </c>
      <c r="L502" s="4" t="inlineStr">
        <is>
          <t>нет в опубл. списке (опубликован только топ-15 страны)</t>
        </is>
      </c>
      <c r="M502" s="4" t="inlineStr">
        <is>
          <t>NIRF 2025 (Overall)</t>
        </is>
      </c>
      <c r="N502" s="4" t="inlineStr">
        <is>
          <t>38</t>
        </is>
      </c>
      <c r="O502" s="4" t="inlineStr">
        <is>
          <t>https://www.timeshighereducation.com/world-university-rankings/2027/world-ranking
https://www.nirfindia.org/Rankings/2025/OverallRanking.html</t>
        </is>
      </c>
      <c r="P502" s="4" t="inlineStr">
        <is>
          <t>NIRF 2025, другие категории: University 21</t>
        </is>
      </c>
    </row>
    <row r="503">
      <c r="A503" s="3" t="inlineStr">
        <is>
          <t>India|JSS Science and Technology University</t>
        </is>
      </c>
      <c r="B503" s="3" t="inlineStr">
        <is>
          <t>India</t>
        </is>
      </c>
      <c r="C503" s="3" t="inlineStr">
        <is>
          <t>Майсур</t>
        </is>
      </c>
      <c r="D503" s="3" t="inlineStr">
        <is>
          <t>JSS Science and Technology University</t>
        </is>
      </c>
      <c r="E503" s="3" t="inlineStr">
        <is>
          <t>JSS Science and Technology University (JSS STU)</t>
        </is>
      </c>
      <c r="F503" s="3" t="inlineStr">
        <is>
          <t>https://jssstuniv.in</t>
        </is>
      </c>
      <c r="G503" s="3" t="inlineStr"/>
      <c r="H503" s="3" t="inlineStr"/>
      <c r="I503" s="3" t="inlineStr"/>
      <c r="J503" s="4" t="inlineStr">
        <is>
          <t>не в рейтинге</t>
        </is>
      </c>
      <c r="K503" s="4" t="inlineStr">
        <is>
          <t>не в рейтинге</t>
        </is>
      </c>
      <c r="L503" s="4" t="inlineStr">
        <is>
          <t>нет в опубл. списке (опубликован только топ-15 страны)</t>
        </is>
      </c>
      <c r="M503" s="4" t="inlineStr">
        <is>
          <t>NIRF 2025 (Engineering)</t>
        </is>
      </c>
      <c r="N503" s="4" t="inlineStr">
        <is>
          <t>201–300</t>
        </is>
      </c>
      <c r="O503" s="4" t="inlineStr">
        <is>
          <t>https://www.nirfindia.org/Rankings/2025/EngineeringRanking300.html</t>
        </is>
      </c>
      <c r="P503" s="4" t="n"/>
    </row>
    <row r="504">
      <c r="A504" s="3" t="inlineStr">
        <is>
          <t>India|Jadavpur University</t>
        </is>
      </c>
      <c r="B504" s="3" t="inlineStr">
        <is>
          <t>India</t>
        </is>
      </c>
      <c r="C504" s="3" t="inlineStr">
        <is>
          <t>Калькутта</t>
        </is>
      </c>
      <c r="D504" s="3" t="inlineStr">
        <is>
          <t>Jadavpur University</t>
        </is>
      </c>
      <c r="E504" s="3" t="inlineStr">
        <is>
          <t>যাদবপুর বিশ্ববিদ্যালয়</t>
        </is>
      </c>
      <c r="F504" s="3" t="inlineStr">
        <is>
          <t>https://jadavpuruniversity.in</t>
        </is>
      </c>
      <c r="G504" s="3" t="inlineStr"/>
      <c r="H504" s="3" t="inlineStr">
        <is>
          <t>THE2027: 1201-1400</t>
        </is>
      </c>
      <c r="I504" s="3" t="inlineStr">
        <is>
          <t>NIRF2025 University: 9</t>
        </is>
      </c>
      <c r="J504" s="4" t="inlineStr">
        <is>
          <t>721–730</t>
        </is>
      </c>
      <c r="K504" s="4" t="inlineStr">
        <is>
          <t>1201–1400</t>
        </is>
      </c>
      <c r="L504" s="4" t="inlineStr">
        <is>
          <t>нет в опубл. списке (опубликован только топ-15 страны)</t>
        </is>
      </c>
      <c r="M504" s="4" t="inlineStr">
        <is>
          <t>NIRF 2025 (Overall)</t>
        </is>
      </c>
      <c r="N504" s="4" t="inlineStr">
        <is>
          <t>18</t>
        </is>
      </c>
      <c r="O504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04" s="4" t="inlineStr">
        <is>
          <t>NIRF 2025, другие категории: University 9, Engineering 18, Research 23, Pharmacy 24, Architecture 16</t>
        </is>
      </c>
    </row>
    <row r="505">
      <c r="A505" s="3" t="inlineStr">
        <is>
          <t>India|Jain (Deemed-to-be University), Bengaluru</t>
        </is>
      </c>
      <c r="B505" s="3" t="inlineStr">
        <is>
          <t>India</t>
        </is>
      </c>
      <c r="C505" s="3" t="inlineStr">
        <is>
          <t>Бангалор</t>
        </is>
      </c>
      <c r="D505" s="3" t="inlineStr">
        <is>
          <t>Jain (Deemed-to-be University), Bengaluru</t>
        </is>
      </c>
      <c r="E505" s="3" t="inlineStr">
        <is>
          <t>JAIN (Deemed-to-be University)</t>
        </is>
      </c>
      <c r="F505" s="3" t="inlineStr">
        <is>
          <t>https://www.jainuniversity.ac.in</t>
        </is>
      </c>
      <c r="G505" s="3" t="inlineStr"/>
      <c r="H505" s="3" t="inlineStr"/>
      <c r="I505" s="3" t="inlineStr">
        <is>
          <t>NIRF2025 University: 62</t>
        </is>
      </c>
      <c r="J505" s="4" t="inlineStr">
        <is>
          <t>не в рейтинге</t>
        </is>
      </c>
      <c r="K505" s="4" t="inlineStr">
        <is>
          <t>не в рейтинге</t>
        </is>
      </c>
      <c r="L505" s="4" t="inlineStr">
        <is>
          <t>нет в опубл. списке (опубликован только топ-15 страны)</t>
        </is>
      </c>
      <c r="M505" s="4" t="inlineStr">
        <is>
          <t>NIRF 2025</t>
        </is>
      </c>
      <c r="N505" s="4" t="inlineStr">
        <is>
          <t>не в рейтинге</t>
        </is>
      </c>
      <c r="O505" s="4" t="inlineStr">
        <is>
          <t>https://www.nirfindia.org/Rankings/2025/Ranking.html</t>
        </is>
      </c>
      <c r="P505" s="4" t="n"/>
    </row>
    <row r="506">
      <c r="A506" s="3" t="inlineStr">
        <is>
          <t>India|Jamia Hamdard</t>
        </is>
      </c>
      <c r="B506" s="3" t="inlineStr">
        <is>
          <t>India</t>
        </is>
      </c>
      <c r="C506" s="3" t="inlineStr">
        <is>
          <t>Нью-Дели</t>
        </is>
      </c>
      <c r="D506" s="3" t="inlineStr">
        <is>
          <t>Jamia Hamdard</t>
        </is>
      </c>
      <c r="E506" s="3" t="inlineStr"/>
      <c r="F506" s="3" t="inlineStr">
        <is>
          <t>https://www.jamiahamdard.ac.in</t>
        </is>
      </c>
      <c r="G506" s="3" t="inlineStr"/>
      <c r="H506" s="3" t="inlineStr">
        <is>
          <t>THE2027: 1001–1200</t>
        </is>
      </c>
      <c r="I506" s="3" t="inlineStr">
        <is>
          <t>NIRF2025 University: 47</t>
        </is>
      </c>
      <c r="J506" s="4" t="inlineStr">
        <is>
          <t>1401+</t>
        </is>
      </c>
      <c r="K506" s="4" t="inlineStr">
        <is>
          <t>1001–1200</t>
        </is>
      </c>
      <c r="L506" s="4" t="inlineStr">
        <is>
          <t>нет в опубл. списке (опубликован только топ-15 страны)</t>
        </is>
      </c>
      <c r="M506" s="4" t="inlineStr">
        <is>
          <t>NIRF 2025 (Overall)</t>
        </is>
      </c>
      <c r="N506" s="4" t="inlineStr">
        <is>
          <t>74</t>
        </is>
      </c>
      <c r="O506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06" s="4" t="inlineStr">
        <is>
          <t>THE: в таблице как «Jamia Hamdard University»; NIRF 2025, другие категории: University 47, Engineering 201–300, Medical 40, Management 87, Pharmacy 1</t>
        </is>
      </c>
    </row>
    <row r="507">
      <c r="A507" s="3" t="inlineStr">
        <is>
          <t>India|Jamia Millia Islamia</t>
        </is>
      </c>
      <c r="B507" s="3" t="inlineStr">
        <is>
          <t>India</t>
        </is>
      </c>
      <c r="C507" s="3" t="inlineStr">
        <is>
          <t>Нью-Дели</t>
        </is>
      </c>
      <c r="D507" s="3" t="inlineStr">
        <is>
          <t>Jamia Millia Islamia</t>
        </is>
      </c>
      <c r="E507" s="3" t="inlineStr"/>
      <c r="F507" s="3" t="inlineStr">
        <is>
          <t>https://jmi.ac.in</t>
        </is>
      </c>
      <c r="G507" s="3" t="inlineStr">
        <is>
          <t>QS2027: 686</t>
        </is>
      </c>
      <c r="H507" s="3" t="inlineStr">
        <is>
          <t>THE2027: 501–550</t>
        </is>
      </c>
      <c r="I507" s="3" t="inlineStr">
        <is>
          <t>NIRF2025 University: 4</t>
        </is>
      </c>
      <c r="J507" s="4">
        <f>686</f>
        <v/>
      </c>
      <c r="K507" s="4" t="inlineStr">
        <is>
          <t>501–550</t>
        </is>
      </c>
      <c r="L507" s="4" t="inlineStr">
        <is>
          <t>нет в опубл. списке (опубликован только топ-15 страны)</t>
        </is>
      </c>
      <c r="M507" s="4" t="inlineStr">
        <is>
          <t>NIRF 2025 (Overall)</t>
        </is>
      </c>
      <c r="N507" s="4" t="inlineStr">
        <is>
          <t>13</t>
        </is>
      </c>
      <c r="O507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07" s="4" t="inlineStr">
        <is>
          <t>NIRF 2025, другие категории: University 4, Engineering 24, Research 20, Management 28, Law 8, Architecture 5</t>
        </is>
      </c>
    </row>
    <row r="508">
      <c r="A508" s="3" t="inlineStr">
        <is>
          <t>India|Jawaharlal Nehru Technological University</t>
        </is>
      </c>
      <c r="B508" s="3" t="inlineStr">
        <is>
          <t>India</t>
        </is>
      </c>
      <c r="C508" s="3" t="inlineStr">
        <is>
          <t>Хайдарабад</t>
        </is>
      </c>
      <c r="D508" s="3" t="inlineStr">
        <is>
          <t>Jawaharlal Nehru Technological University</t>
        </is>
      </c>
      <c r="E508" s="3" t="inlineStr">
        <is>
          <t>Jawaharlal Nehru Technological University Hyderabad (JNTUH)</t>
        </is>
      </c>
      <c r="F508" s="3" t="inlineStr">
        <is>
          <t>https://jntuh.ac.in</t>
        </is>
      </c>
      <c r="G508" s="3" t="inlineStr"/>
      <c r="H508" s="3" t="inlineStr">
        <is>
          <t>THE2027: 1601–1800</t>
        </is>
      </c>
      <c r="I508" s="3" t="inlineStr">
        <is>
          <t>NIRF2025 University: 81</t>
        </is>
      </c>
      <c r="J508" s="4" t="inlineStr">
        <is>
          <t>не в рейтинге</t>
        </is>
      </c>
      <c r="K508" s="4" t="inlineStr">
        <is>
          <t>1601–1800</t>
        </is>
      </c>
      <c r="L508" s="4" t="inlineStr">
        <is>
          <t>нет в опубл. списке (опубликован только топ-15 страны)</t>
        </is>
      </c>
      <c r="M508" s="4" t="inlineStr">
        <is>
          <t>NIRF 2025 (Overall)</t>
        </is>
      </c>
      <c r="N508" s="4" t="inlineStr">
        <is>
          <t>101–150</t>
        </is>
      </c>
      <c r="O508" s="4" t="inlineStr">
        <is>
          <t>https://www.timeshighereducation.com/world-university-rankings/2027/world-ranking
https://www.nirfindia.org/Rankings/2025/OverallRanking150.html</t>
        </is>
      </c>
      <c r="P508" s="4" t="inlineStr">
        <is>
          <t>NIRF 2025, другие категории: University 81, University 101–150, Engineering 94, Engineering 101–150, Engineering 151–200</t>
        </is>
      </c>
    </row>
    <row r="509">
      <c r="A509" s="3" t="inlineStr">
        <is>
          <t>India|Jawaharlal Nehru University</t>
        </is>
      </c>
      <c r="B509" s="3" t="inlineStr">
        <is>
          <t>India</t>
        </is>
      </c>
      <c r="C509" s="3" t="inlineStr">
        <is>
          <t>Нью-Дели</t>
        </is>
      </c>
      <c r="D509" s="3" t="inlineStr">
        <is>
          <t>Jawaharlal Nehru University</t>
        </is>
      </c>
      <c r="E509" s="3" t="inlineStr">
        <is>
          <t>जवाहरलाल नेहरू विश्वविद्यालय</t>
        </is>
      </c>
      <c r="F509" s="3" t="inlineStr">
        <is>
          <t>https://www.jnu.ac.in</t>
        </is>
      </c>
      <c r="G509" s="3" t="inlineStr">
        <is>
          <t>QS2027: 555</t>
        </is>
      </c>
      <c r="H509" s="3" t="inlineStr">
        <is>
          <t>THE2027: 701–800</t>
        </is>
      </c>
      <c r="I509" s="3" t="inlineStr">
        <is>
          <t>NIRF2025 University: 2</t>
        </is>
      </c>
      <c r="J509" s="4">
        <f>555</f>
        <v/>
      </c>
      <c r="K509" s="4" t="inlineStr">
        <is>
          <t>701–800</t>
        </is>
      </c>
      <c r="L509" s="4" t="inlineStr">
        <is>
          <t>нет в опубл. списке (опубликован только топ-15 страны)</t>
        </is>
      </c>
      <c r="M509" s="4" t="inlineStr">
        <is>
          <t>NIRF 2025 (Overall)</t>
        </is>
      </c>
      <c r="N509" s="4" t="inlineStr">
        <is>
          <t>9</t>
        </is>
      </c>
      <c r="O509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09" s="4" t="inlineStr">
        <is>
          <t>NIRF 2025, другие категории: University 2, Research 21</t>
        </is>
      </c>
    </row>
    <row r="510">
      <c r="A510" s="3" t="inlineStr">
        <is>
          <t>India|Jaypee Institute of Information Technology</t>
        </is>
      </c>
      <c r="B510" s="3" t="inlineStr">
        <is>
          <t>India</t>
        </is>
      </c>
      <c r="C510" s="3" t="inlineStr">
        <is>
          <t>Нойда</t>
        </is>
      </c>
      <c r="D510" s="3" t="inlineStr">
        <is>
          <t>Jaypee Institute of Information Technology</t>
        </is>
      </c>
      <c r="E510" s="3" t="inlineStr"/>
      <c r="F510" s="3" t="inlineStr">
        <is>
          <t>https://www.jiit.ac.in</t>
        </is>
      </c>
      <c r="G510" s="3" t="inlineStr"/>
      <c r="H510" s="3" t="inlineStr">
        <is>
          <t>THE2027: 1601–1800</t>
        </is>
      </c>
      <c r="I510" s="3" t="inlineStr">
        <is>
          <t>NIRF2025 Engineering: 101-150</t>
        </is>
      </c>
      <c r="J510" s="4" t="inlineStr">
        <is>
          <t>не в рейтинге</t>
        </is>
      </c>
      <c r="K510" s="4" t="inlineStr">
        <is>
          <t>1601–1800</t>
        </is>
      </c>
      <c r="L510" s="4" t="inlineStr">
        <is>
          <t>нет в опубл. списке (опубликован только топ-15 страны)</t>
        </is>
      </c>
      <c r="M510" s="4" t="inlineStr">
        <is>
          <t>NIRF 2025 (Engineering)</t>
        </is>
      </c>
      <c r="N510" s="4" t="inlineStr">
        <is>
          <t>101–150</t>
        </is>
      </c>
      <c r="O510" s="4" t="inlineStr">
        <is>
          <t>https://www.timeshighereducation.com/world-university-rankings/2027/world-ranking
https://www.nirfindia.org/Rankings/2025/EngineeringRanking150.html</t>
        </is>
      </c>
      <c r="P510" s="4" t="inlineStr">
        <is>
          <t>THE: в таблице как «Jaypee Institute of Information Technology, Noida»</t>
        </is>
      </c>
    </row>
    <row r="511">
      <c r="A511" s="3" t="inlineStr">
        <is>
          <t>India|Jeppiaar Institute of Technology</t>
        </is>
      </c>
      <c r="B511" s="3" t="inlineStr">
        <is>
          <t>India</t>
        </is>
      </c>
      <c r="C511" s="3" t="inlineStr">
        <is>
          <t>Шриперумбудур (Ченнаи)</t>
        </is>
      </c>
      <c r="D511" s="3" t="inlineStr">
        <is>
          <t>Jeppiaar Institute of Technology</t>
        </is>
      </c>
      <c r="E511" s="3" t="inlineStr">
        <is>
          <t>ஜேப்பியார் தொழில்நுட்பக் கல்லூரி</t>
        </is>
      </c>
      <c r="F511" s="3" t="inlineStr">
        <is>
          <t>https://www.jeppiaarinstitute.org</t>
        </is>
      </c>
      <c r="G511" s="3" t="inlineStr"/>
      <c r="H511" s="3" t="inlineStr"/>
      <c r="I511" s="3" t="inlineStr"/>
      <c r="J511" s="4" t="inlineStr">
        <is>
          <t>не в рейтинге</t>
        </is>
      </c>
      <c r="K511" s="4" t="inlineStr">
        <is>
          <t>не в рейтинге</t>
        </is>
      </c>
      <c r="L511" s="4" t="inlineStr">
        <is>
          <t>нет в опубл. списке (опубликован только топ-15 страны)</t>
        </is>
      </c>
      <c r="M511" s="4" t="inlineStr">
        <is>
          <t>NIRF 2025</t>
        </is>
      </c>
      <c r="N511" s="4" t="inlineStr">
        <is>
          <t>не в рейтинге</t>
        </is>
      </c>
      <c r="O511" s="4" t="inlineStr">
        <is>
          <t>https://www.nirfindia.org/Rankings/2025/Ranking.html</t>
        </is>
      </c>
      <c r="P511" s="4" t="n"/>
    </row>
    <row r="512">
      <c r="A512" s="3" t="inlineStr">
        <is>
          <t>India|KPR Institute of Engineering and Technology (KPRIET)</t>
        </is>
      </c>
      <c r="B512" s="3" t="inlineStr">
        <is>
          <t>India</t>
        </is>
      </c>
      <c r="C512" s="3" t="inlineStr">
        <is>
          <t>Коимбатур</t>
        </is>
      </c>
      <c r="D512" s="3" t="inlineStr">
        <is>
          <t>KPR Institute of Engineering and Technology (KPRIET)</t>
        </is>
      </c>
      <c r="E512" s="3" t="inlineStr"/>
      <c r="F512" s="3" t="inlineStr">
        <is>
          <t>https://kpriet.ac.in</t>
        </is>
      </c>
      <c r="G512" s="3" t="inlineStr"/>
      <c r="H512" s="3" t="inlineStr"/>
      <c r="I512" s="3" t="inlineStr">
        <is>
          <t>NIRF2025 Engineering: 101-150</t>
        </is>
      </c>
      <c r="J512" s="4" t="inlineStr">
        <is>
          <t>не в рейтинге</t>
        </is>
      </c>
      <c r="K512" s="4" t="inlineStr">
        <is>
          <t>не в рейтинге</t>
        </is>
      </c>
      <c r="L512" s="4" t="inlineStr">
        <is>
          <t>нет в опубл. списке (опубликован только топ-15 страны)</t>
        </is>
      </c>
      <c r="M512" s="4" t="inlineStr">
        <is>
          <t>NIRF 2025 (Overall)</t>
        </is>
      </c>
      <c r="N512" s="4" t="inlineStr">
        <is>
          <t>151–200</t>
        </is>
      </c>
      <c r="O512" s="4" t="inlineStr">
        <is>
          <t>https://www.nirfindia.org/Rankings/2025/OverallRanking200.html</t>
        </is>
      </c>
      <c r="P512" s="4" t="inlineStr">
        <is>
          <t>NIRF 2025, другие категории: Engineering 101–150</t>
        </is>
      </c>
    </row>
    <row r="513">
      <c r="A513" s="3" t="inlineStr">
        <is>
          <t>India|Kalasalingam Academy of Research and Education</t>
        </is>
      </c>
      <c r="B513" s="3" t="inlineStr">
        <is>
          <t>India</t>
        </is>
      </c>
      <c r="C513" s="3" t="inlineStr">
        <is>
          <t>Кришнанкойл (округ Вирудхунагар)</t>
        </is>
      </c>
      <c r="D513" s="3" t="inlineStr">
        <is>
          <t>Kalasalingam Academy of Research and Education</t>
        </is>
      </c>
      <c r="E513" s="3" t="inlineStr">
        <is>
          <t>கலசலிங்கம் ஆராய்ச்சி மற்றும் கல்வி அகாடமி</t>
        </is>
      </c>
      <c r="F513" s="3" t="inlineStr">
        <is>
          <t>https://kalasalingam.ac.in</t>
        </is>
      </c>
      <c r="G513" s="3" t="inlineStr"/>
      <c r="H513" s="3" t="inlineStr">
        <is>
          <t>THE2027: 1201–1400</t>
        </is>
      </c>
      <c r="I513" s="3" t="inlineStr">
        <is>
          <t>NIRF2025 University: 28</t>
        </is>
      </c>
      <c r="J513" s="4" t="inlineStr">
        <is>
          <t>не в рейтинге</t>
        </is>
      </c>
      <c r="K513" s="4" t="inlineStr">
        <is>
          <t>1201–1400</t>
        </is>
      </c>
      <c r="L513" s="4" t="inlineStr">
        <is>
          <t>нет в опубл. списке (опубликован только топ-15 страны)</t>
        </is>
      </c>
      <c r="M513" s="4" t="inlineStr">
        <is>
          <t>NIRF 2025 (Overall)</t>
        </is>
      </c>
      <c r="N513" s="4" t="inlineStr">
        <is>
          <t>48</t>
        </is>
      </c>
      <c r="O513" s="4" t="inlineStr">
        <is>
          <t>https://www.timeshighereducation.com/world-university-rankings/2027/world-ranking
https://www.nirfindia.org/Rankings/2025/OverallRanking.html</t>
        </is>
      </c>
      <c r="P513" s="4" t="inlineStr">
        <is>
          <t>NIRF 2025, другие категории: University 28, Engineering 33</t>
        </is>
      </c>
    </row>
    <row r="514">
      <c r="A514" s="3" t="inlineStr">
        <is>
          <t>India|Karunya Institute of Technology and Sciences</t>
        </is>
      </c>
      <c r="B514" s="3" t="inlineStr">
        <is>
          <t>India</t>
        </is>
      </c>
      <c r="C514" s="3" t="inlineStr">
        <is>
          <t>Коимбатур</t>
        </is>
      </c>
      <c r="D514" s="3" t="inlineStr">
        <is>
          <t>Karunya Institute of Technology and Sciences</t>
        </is>
      </c>
      <c r="E514" s="3" t="inlineStr">
        <is>
          <t>Karunya Institute of Technology and Sciences (Deemed to be University)</t>
        </is>
      </c>
      <c r="F514" s="3" t="inlineStr">
        <is>
          <t>https://www.karunya.edu</t>
        </is>
      </c>
      <c r="G514" s="3" t="inlineStr"/>
      <c r="H514" s="3" t="inlineStr">
        <is>
          <t>THE2027: 1201–1400</t>
        </is>
      </c>
      <c r="I514" s="3" t="inlineStr"/>
      <c r="J514" s="4" t="inlineStr">
        <is>
          <t>не в рейтинге</t>
        </is>
      </c>
      <c r="K514" s="4" t="inlineStr">
        <is>
          <t>1201–1400</t>
        </is>
      </c>
      <c r="L514" s="4" t="inlineStr">
        <is>
          <t>нет в опубл. списке (опубликован только топ-15 страны)</t>
        </is>
      </c>
      <c r="M514" s="4" t="inlineStr">
        <is>
          <t>NIRF 2025 (Overall)</t>
        </is>
      </c>
      <c r="N514" s="4" t="inlineStr">
        <is>
          <t>151–200</t>
        </is>
      </c>
      <c r="O514" s="4" t="inlineStr">
        <is>
          <t>https://www.timeshighereducation.com/world-university-rankings/2027/world-ranking
https://www.nirfindia.org/Rankings/2025/OverallRanking200.html</t>
        </is>
      </c>
      <c r="P514" s="4" t="inlineStr">
        <is>
          <t>NIRF 2025, другие категории: University 101–150, Engineering 101–150</t>
        </is>
      </c>
    </row>
    <row r="515">
      <c r="A515" s="3" t="inlineStr">
        <is>
          <t>India|King George's Medical University (KGMU)</t>
        </is>
      </c>
      <c r="B515" s="3" t="inlineStr">
        <is>
          <t>India</t>
        </is>
      </c>
      <c r="C515" s="3" t="inlineStr">
        <is>
          <t>Лакхнау</t>
        </is>
      </c>
      <c r="D515" s="3" t="inlineStr">
        <is>
          <t>King George's Medical University (KGMU)</t>
        </is>
      </c>
      <c r="E515" s="3" t="inlineStr">
        <is>
          <t>किंग जॉर्ज चिकित्सा विश्वविद्यालय</t>
        </is>
      </c>
      <c r="F515" s="3" t="inlineStr">
        <is>
          <t>https://www.kgmu.org</t>
        </is>
      </c>
      <c r="G515" s="3" t="inlineStr"/>
      <c r="H515" s="3" t="inlineStr"/>
      <c r="I515" s="3" t="inlineStr">
        <is>
          <t>NIRF2025 University: 50</t>
        </is>
      </c>
      <c r="J515" s="4" t="inlineStr">
        <is>
          <t>не в рейтинге</t>
        </is>
      </c>
      <c r="K515" s="4" t="inlineStr">
        <is>
          <t>не в рейтинге</t>
        </is>
      </c>
      <c r="L515" s="4" t="inlineStr">
        <is>
          <t>нет в опубл. списке (опубликован только топ-15 страны)</t>
        </is>
      </c>
      <c r="M515" s="4" t="inlineStr">
        <is>
          <t>NIRF 2025 (Overall)</t>
        </is>
      </c>
      <c r="N515" s="4" t="inlineStr">
        <is>
          <t>83</t>
        </is>
      </c>
      <c r="O515" s="4" t="inlineStr">
        <is>
          <t>https://www.nirfindia.org/Rankings/2025/OverallRanking.html</t>
        </is>
      </c>
      <c r="P515" s="4" t="inlineStr">
        <is>
          <t>NIRF 2025, другие категории: University 50, Medical 8</t>
        </is>
      </c>
    </row>
    <row r="516">
      <c r="A516" s="3" t="inlineStr">
        <is>
          <t>India|Koneru Lakshmaiah Education Foundation (KL Deemed to be University)</t>
        </is>
      </c>
      <c r="B516" s="3" t="inlineStr">
        <is>
          <t>India</t>
        </is>
      </c>
      <c r="C516" s="3" t="inlineStr">
        <is>
          <t>Ваддесварам (Гунтур, близ Виджаявады)</t>
        </is>
      </c>
      <c r="D516" s="3" t="inlineStr">
        <is>
          <t>Koneru Lakshmaiah Education Foundation (KL Deemed to be University)</t>
        </is>
      </c>
      <c r="E516" s="3" t="inlineStr"/>
      <c r="F516" s="3" t="inlineStr">
        <is>
          <t>https://www.kluniversity.in</t>
        </is>
      </c>
      <c r="G516" s="3" t="inlineStr"/>
      <c r="H516" s="3" t="inlineStr"/>
      <c r="I516" s="3" t="inlineStr">
        <is>
          <t>NIRF2025 University: 26</t>
        </is>
      </c>
      <c r="J516" s="4" t="inlineStr">
        <is>
          <t>не в рейтинге</t>
        </is>
      </c>
      <c r="K516" s="4" t="inlineStr">
        <is>
          <t>не в рейтинге</t>
        </is>
      </c>
      <c r="L516" s="4" t="inlineStr">
        <is>
          <t>нет в опубл. списке (опубликован только топ-15 страны)</t>
        </is>
      </c>
      <c r="M516" s="4" t="inlineStr">
        <is>
          <t>NIRF 2025 (Overall)</t>
        </is>
      </c>
      <c r="N516" s="4" t="inlineStr">
        <is>
          <t>46</t>
        </is>
      </c>
      <c r="O516" s="4" t="inlineStr">
        <is>
          <t>https://www.nirfindia.org/Rankings/2025/OverallRanking.html</t>
        </is>
      </c>
      <c r="P516" s="4" t="inlineStr">
        <is>
          <t>NIRF 2025, другие категории: University 26, Engineering 35, Management 70</t>
        </is>
      </c>
    </row>
    <row r="517">
      <c r="A517" s="3" t="inlineStr">
        <is>
          <t>India|Kongu Engineering College</t>
        </is>
      </c>
      <c r="B517" s="3" t="inlineStr">
        <is>
          <t>India</t>
        </is>
      </c>
      <c r="C517" s="3" t="inlineStr">
        <is>
          <t>Перундурай (округ Ироде)</t>
        </is>
      </c>
      <c r="D517" s="3" t="inlineStr">
        <is>
          <t>Kongu Engineering College</t>
        </is>
      </c>
      <c r="E517" s="3" t="inlineStr">
        <is>
          <t>Kongu Engineering College (Autonomous)</t>
        </is>
      </c>
      <c r="F517" s="3" t="inlineStr">
        <is>
          <t>https://www.kongu.ac.in</t>
        </is>
      </c>
      <c r="G517" s="3" t="inlineStr"/>
      <c r="H517" s="3" t="inlineStr"/>
      <c r="I517" s="3" t="inlineStr">
        <is>
          <t>NIRF2025 Engineering: 101-150</t>
        </is>
      </c>
      <c r="J517" s="4" t="inlineStr">
        <is>
          <t>не в рейтинге</t>
        </is>
      </c>
      <c r="K517" s="4" t="inlineStr">
        <is>
          <t>не в рейтинге</t>
        </is>
      </c>
      <c r="L517" s="4" t="inlineStr">
        <is>
          <t>нет в опубл. списке (опубликован только топ-15 страны)</t>
        </is>
      </c>
      <c r="M517" s="4" t="inlineStr">
        <is>
          <t>NIRF 2025 (Engineering)</t>
        </is>
      </c>
      <c r="N517" s="4" t="inlineStr">
        <is>
          <t>101–150</t>
        </is>
      </c>
      <c r="O517" s="4" t="inlineStr">
        <is>
          <t>https://www.nirfindia.org/Rankings/2025/EngineeringRanking150.html</t>
        </is>
      </c>
      <c r="P517" s="4" t="n"/>
    </row>
    <row r="518">
      <c r="A518" s="3" t="inlineStr">
        <is>
          <t>India|Lovely Professional University</t>
        </is>
      </c>
      <c r="B518" s="3" t="inlineStr">
        <is>
          <t>India</t>
        </is>
      </c>
      <c r="C518" s="3" t="inlineStr">
        <is>
          <t>Пхагвара</t>
        </is>
      </c>
      <c r="D518" s="3" t="inlineStr">
        <is>
          <t>Lovely Professional University</t>
        </is>
      </c>
      <c r="E518" s="3" t="inlineStr"/>
      <c r="F518" s="3" t="inlineStr">
        <is>
          <t>https://www.lpu.in</t>
        </is>
      </c>
      <c r="G518" s="3" t="inlineStr"/>
      <c r="H518" s="3" t="inlineStr">
        <is>
          <t>THE2027: 501–550</t>
        </is>
      </c>
      <c r="I518" s="3" t="inlineStr">
        <is>
          <t>NIRF2025 University: 31</t>
        </is>
      </c>
      <c r="J518" s="4" t="inlineStr">
        <is>
          <t>791–800</t>
        </is>
      </c>
      <c r="K518" s="4" t="inlineStr">
        <is>
          <t>501–550</t>
        </is>
      </c>
      <c r="L518" s="4" t="inlineStr">
        <is>
          <t>800</t>
        </is>
      </c>
      <c r="M518" s="4" t="inlineStr">
        <is>
          <t>NIRF 2025 (Overall)</t>
        </is>
      </c>
      <c r="N518" s="4" t="inlineStr">
        <is>
          <t>49</t>
        </is>
      </c>
      <c r="O51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P518" s="4" t="inlineStr">
        <is>
          <t>NIRF 2025, другие категории: University 31, Engineering 48, Research 40, Management 44, Pharmacy 13, Law 26, Architecture 24, Agriculture 17</t>
        </is>
      </c>
    </row>
    <row r="519">
      <c r="A519" s="3" t="inlineStr">
        <is>
          <t>India|M. S. Ramaiah Institute of Technology</t>
        </is>
      </c>
      <c r="B519" s="3" t="inlineStr">
        <is>
          <t>India</t>
        </is>
      </c>
      <c r="C519" s="3" t="inlineStr">
        <is>
          <t>Бангалор</t>
        </is>
      </c>
      <c r="D519" s="3" t="inlineStr">
        <is>
          <t>M. S. Ramaiah Institute of Technology</t>
        </is>
      </c>
      <c r="E519" s="3" t="inlineStr">
        <is>
          <t>Ramaiah Institute of Technology (RIT; formerly M. S. Ramaiah Institute of Technology)</t>
        </is>
      </c>
      <c r="F519" s="3" t="inlineStr">
        <is>
          <t>https://www.msrit.edu</t>
        </is>
      </c>
      <c r="G519" s="3" t="inlineStr"/>
      <c r="H519" s="3" t="inlineStr"/>
      <c r="I519" s="3" t="inlineStr">
        <is>
          <t>NIRF2025 Engineering: 75</t>
        </is>
      </c>
      <c r="J519" s="4" t="inlineStr">
        <is>
          <t>не в рейтинге</t>
        </is>
      </c>
      <c r="K519" s="4" t="inlineStr">
        <is>
          <t>не в рейтинге</t>
        </is>
      </c>
      <c r="L519" s="4" t="inlineStr">
        <is>
          <t>нет в опубл. списке (опубликован только топ-15 страны)</t>
        </is>
      </c>
      <c r="M519" s="4" t="inlineStr">
        <is>
          <t>NIRF 2025 (Overall)</t>
        </is>
      </c>
      <c r="N519" s="4" t="inlineStr">
        <is>
          <t>101–150</t>
        </is>
      </c>
      <c r="O519" s="4" t="inlineStr">
        <is>
          <t>https://www.nirfindia.org/Rankings/2025/OverallRanking150.html</t>
        </is>
      </c>
      <c r="P519" s="4" t="inlineStr">
        <is>
          <t>NIRF 2025, другие категории: Engineering 75, Architecture 31</t>
        </is>
      </c>
    </row>
    <row r="520">
      <c r="A520" s="3" t="inlineStr">
        <is>
          <t>India|Maharishi Markandeshwar</t>
        </is>
      </c>
      <c r="B520" s="3" t="inlineStr">
        <is>
          <t>India</t>
        </is>
      </c>
      <c r="C520" s="3" t="inlineStr">
        <is>
          <t>Муллана (Амбала)</t>
        </is>
      </c>
      <c r="D520" s="3" t="inlineStr">
        <is>
          <t>Maharishi Markandeshwar</t>
        </is>
      </c>
      <c r="E520" s="3" t="inlineStr">
        <is>
          <t>महर्षि मार्कण्डेश्वर (डीम्ड टू बी यूनिवर्सिटी)</t>
        </is>
      </c>
      <c r="F520" s="3" t="inlineStr">
        <is>
          <t>https://www.mmumullana.org</t>
        </is>
      </c>
      <c r="G520" s="3" t="inlineStr"/>
      <c r="H520" s="3" t="inlineStr">
        <is>
          <t>THE2027: 1401–1600</t>
        </is>
      </c>
      <c r="I520" s="3" t="inlineStr">
        <is>
          <t>NIRF2025 University: 85</t>
        </is>
      </c>
      <c r="J520" s="4" t="inlineStr">
        <is>
          <t>не в рейтинге</t>
        </is>
      </c>
      <c r="K520" s="4" t="inlineStr">
        <is>
          <t>1401–1600</t>
        </is>
      </c>
      <c r="L520" s="4" t="inlineStr">
        <is>
          <t>нет в опубл. списке (опубликован только топ-15 страны)</t>
        </is>
      </c>
      <c r="M520" s="4" t="inlineStr">
        <is>
          <t>NIRF 2025 (Overall)</t>
        </is>
      </c>
      <c r="N520" s="4" t="inlineStr">
        <is>
          <t>101–150</t>
        </is>
      </c>
      <c r="O520" s="4" t="inlineStr">
        <is>
          <t>https://www.timeshighereducation.com/world-university-rankings/2027/world-ranking
https://www.nirfindia.org/Rankings/2025/OverallRanking150.html</t>
        </is>
      </c>
      <c r="P520" s="4" t="inlineStr">
        <is>
          <t>NIRF 2025, другие категории: University 85, Engineering 101–150, Medical 33, Pharmacy 26</t>
        </is>
      </c>
    </row>
    <row r="521">
      <c r="A521" s="3" t="inlineStr">
        <is>
          <t>India|Mahatma Gandhi University, Kottayam</t>
        </is>
      </c>
      <c r="B521" s="3" t="inlineStr">
        <is>
          <t>India</t>
        </is>
      </c>
      <c r="C521" s="3" t="inlineStr">
        <is>
          <t>Коттаям</t>
        </is>
      </c>
      <c r="D521" s="3" t="inlineStr">
        <is>
          <t>Mahatma Gandhi University, Kottayam</t>
        </is>
      </c>
      <c r="E521" s="3" t="inlineStr">
        <is>
          <t>മഹാത്മാഗാന്ധി സർവകലാശാല</t>
        </is>
      </c>
      <c r="F521" s="3" t="inlineStr">
        <is>
          <t>https://www.mgu.ac.in</t>
        </is>
      </c>
      <c r="G521" s="3" t="inlineStr"/>
      <c r="H521" s="3" t="inlineStr">
        <is>
          <t>THE2027: 1001–1200</t>
        </is>
      </c>
      <c r="I521" s="3" t="inlineStr">
        <is>
          <t>NIRF2025 University: 43</t>
        </is>
      </c>
      <c r="J521" s="4" t="inlineStr">
        <is>
          <t>не в рейтинге</t>
        </is>
      </c>
      <c r="K521" s="4" t="inlineStr">
        <is>
          <t>1001–1200</t>
        </is>
      </c>
      <c r="L521" s="4" t="inlineStr">
        <is>
          <t>нет в опубл. списке (опубликован только топ-15 страны)</t>
        </is>
      </c>
      <c r="M521" s="4" t="inlineStr">
        <is>
          <t>NIRF 2025 (Overall)</t>
        </is>
      </c>
      <c r="N521" s="4" t="inlineStr">
        <is>
          <t>79</t>
        </is>
      </c>
      <c r="O521" s="4" t="inlineStr">
        <is>
          <t>https://www.timeshighereducation.com/world-university-rankings/2027/world-ranking
https://www.nirfindia.org/Rankings/2025/OverallRanking.html</t>
        </is>
      </c>
      <c r="P521" s="4" t="inlineStr">
        <is>
          <t>THE: в таблице как «Mahatma Gandhi University»; NIRF 2025, другие категории: University 43</t>
        </is>
      </c>
    </row>
    <row r="522">
      <c r="A522" s="3" t="inlineStr">
        <is>
          <t>India|Malaviya National Institute of Technology Jaipur</t>
        </is>
      </c>
      <c r="B522" s="3" t="inlineStr">
        <is>
          <t>India</t>
        </is>
      </c>
      <c r="C522" s="3" t="inlineStr">
        <is>
          <t>Джайпур</t>
        </is>
      </c>
      <c r="D522" s="3" t="inlineStr">
        <is>
          <t>Malaviya National Institute of Technology Jaipur</t>
        </is>
      </c>
      <c r="E522" s="3" t="inlineStr"/>
      <c r="F522" s="3" t="inlineStr">
        <is>
          <t>https://www.mnit.ac.in</t>
        </is>
      </c>
      <c r="G522" s="3" t="inlineStr"/>
      <c r="H522" s="3" t="inlineStr">
        <is>
          <t>THE2027: 801–1000</t>
        </is>
      </c>
      <c r="I522" s="3" t="inlineStr">
        <is>
          <t>NIRF2025 Engineering: 42</t>
        </is>
      </c>
      <c r="J522" s="4" t="inlineStr">
        <is>
          <t>не в рейтинге</t>
        </is>
      </c>
      <c r="K522" s="4" t="inlineStr">
        <is>
          <t>801–1000</t>
        </is>
      </c>
      <c r="L522" s="4" t="inlineStr">
        <is>
          <t>нет в опубл. списке (опубликован только топ-15 страны)</t>
        </is>
      </c>
      <c r="M522" s="4" t="inlineStr">
        <is>
          <t>NIRF 2025 (Overall)</t>
        </is>
      </c>
      <c r="N522" s="4" t="inlineStr">
        <is>
          <t>77</t>
        </is>
      </c>
      <c r="O522" s="4" t="inlineStr">
        <is>
          <t>https://www.timeshighereducation.com/world-university-rankings/2027/world-ranking
https://www.nirfindia.org/Rankings/2025/OverallRanking.html</t>
        </is>
      </c>
      <c r="P522" s="4" t="inlineStr">
        <is>
          <t>THE: в таблице как «Malaviya National Institute of Technology»; NIRF 2025, другие категории: Engineering 42, Research 50, Management 62, Architecture 12</t>
        </is>
      </c>
    </row>
    <row r="523">
      <c r="A523" s="3" t="inlineStr">
        <is>
          <t>India|Manav Rachna International Institute of Research and Studies</t>
        </is>
      </c>
      <c r="B523" s="3" t="inlineStr">
        <is>
          <t>India</t>
        </is>
      </c>
      <c r="C523" s="3" t="inlineStr">
        <is>
          <t>Фаридабад</t>
        </is>
      </c>
      <c r="D523" s="3" t="inlineStr">
        <is>
          <t>Manav Rachna International Institute of Research and Studies</t>
        </is>
      </c>
      <c r="E523" s="3" t="inlineStr"/>
      <c r="F523" s="3" t="inlineStr">
        <is>
          <t>https://manavrachna.edu.in</t>
        </is>
      </c>
      <c r="G523" s="3" t="inlineStr"/>
      <c r="H523" s="3" t="inlineStr">
        <is>
          <t>THE2027: 1201–1400</t>
        </is>
      </c>
      <c r="I523" s="3" t="inlineStr">
        <is>
          <t>NIRF2025 University: 96</t>
        </is>
      </c>
      <c r="J523" s="4" t="inlineStr">
        <is>
          <t>не в рейтинге</t>
        </is>
      </c>
      <c r="K523" s="4" t="inlineStr">
        <is>
          <t>1201–1400</t>
        </is>
      </c>
      <c r="L523" s="4" t="inlineStr">
        <is>
          <t>нет в опубл. списке (опубликован только топ-15 страны)</t>
        </is>
      </c>
      <c r="M523" s="4" t="inlineStr">
        <is>
          <t>NIRF 2025 (Overall)</t>
        </is>
      </c>
      <c r="N523" s="4" t="inlineStr">
        <is>
          <t>151–200</t>
        </is>
      </c>
      <c r="O523" s="4" t="inlineStr">
        <is>
          <t>https://www.timeshighereducation.com/world-university-rankings/2027/world-ranking
https://www.nirfindia.org/Rankings/2025/OverallRanking200.html</t>
        </is>
      </c>
      <c r="P523" s="4" t="inlineStr">
        <is>
          <t>NIRF 2025, другие категории: University 96, Engineering 101–150</t>
        </is>
      </c>
    </row>
    <row r="524">
      <c r="A524" s="3" t="inlineStr">
        <is>
          <t>India|Manipal Academy of Higher Education</t>
        </is>
      </c>
      <c r="B524" s="3" t="inlineStr">
        <is>
          <t>India</t>
        </is>
      </c>
      <c r="C524" s="3" t="inlineStr">
        <is>
          <t>Манипал</t>
        </is>
      </c>
      <c r="D524" s="3" t="inlineStr">
        <is>
          <t>Manipal Academy of Higher Education</t>
        </is>
      </c>
      <c r="E524" s="3" t="inlineStr">
        <is>
          <t>ಮಣಿಪಾಲ್ ಅಕಾಡೆಮಿ ಆಫ್ ಹೈಯರ್ ಎಜುಕೇಶನ್ (Manipal Academy of Higher Education, MAHE)</t>
        </is>
      </c>
      <c r="F524" s="3" t="inlineStr">
        <is>
          <t>https://www.manipal.edu</t>
        </is>
      </c>
      <c r="G524" s="3" t="inlineStr">
        <is>
          <t>QS2027: 851-900</t>
        </is>
      </c>
      <c r="H524" s="3" t="inlineStr"/>
      <c r="I524" s="3" t="inlineStr">
        <is>
          <t>NIRF2025 University: 3</t>
        </is>
      </c>
      <c r="J524" s="4" t="inlineStr">
        <is>
          <t>851–900</t>
        </is>
      </c>
      <c r="K524" s="4" t="inlineStr">
        <is>
          <t>551–600</t>
        </is>
      </c>
      <c r="L524" s="4" t="inlineStr">
        <is>
          <t>612</t>
        </is>
      </c>
      <c r="M524" s="4" t="inlineStr">
        <is>
          <t>NIRF 2025 (Overall)</t>
        </is>
      </c>
      <c r="N524" s="4" t="inlineStr">
        <is>
          <t>14</t>
        </is>
      </c>
      <c r="O52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P524" s="4" t="inlineStr">
        <is>
          <t>QS: в таблице как «Manipal Academy of Higher Education, Manipal, Karnataka, India»; NIRF 2025, другие категории: University 3, Research 19</t>
        </is>
      </c>
    </row>
    <row r="525">
      <c r="A525" s="3" t="inlineStr">
        <is>
          <t>India|Manipal Institute of Technology</t>
        </is>
      </c>
      <c r="B525" s="3" t="inlineStr">
        <is>
          <t>India</t>
        </is>
      </c>
      <c r="C525" s="3" t="inlineStr">
        <is>
          <t>Манипал</t>
        </is>
      </c>
      <c r="D525" s="3" t="inlineStr">
        <is>
          <t>Manipal Institute of Technology</t>
        </is>
      </c>
      <c r="E525" s="3" t="inlineStr">
        <is>
          <t>Manipal Institute of Technology (MIT), constituent of Manipal Academy of Higher Education</t>
        </is>
      </c>
      <c r="F525" s="3" t="inlineStr">
        <is>
          <t>https://www.manipal.edu/mit.html</t>
        </is>
      </c>
      <c r="G525" s="3" t="inlineStr">
        <is>
          <t>QS2027: 851-900 (MAHE)</t>
        </is>
      </c>
      <c r="H525" s="3" t="inlineStr">
        <is>
          <t>THE2027: 551–600 (MAHE)</t>
        </is>
      </c>
      <c r="I525" s="3" t="inlineStr">
        <is>
          <t>NIRF2025 Engineering: 59</t>
        </is>
      </c>
      <c r="J525" s="4" t="inlineStr">
        <is>
          <t>не в рейтинге</t>
        </is>
      </c>
      <c r="K525" s="4" t="inlineStr">
        <is>
          <t>не в рейтинге</t>
        </is>
      </c>
      <c r="L525" s="4" t="inlineStr">
        <is>
          <t>нет в опубл. списке (опубликован только топ-15 страны)</t>
        </is>
      </c>
      <c r="M525" s="4" t="inlineStr">
        <is>
          <t>NIRF 2025 (Engineering)</t>
        </is>
      </c>
      <c r="N525" s="4" t="inlineStr">
        <is>
          <t>59</t>
        </is>
      </c>
      <c r="O525" s="4" t="inlineStr">
        <is>
          <t>https://www.nirfindia.org/Rankings/2025/EngineeringRanking.html</t>
        </is>
      </c>
      <c r="P525" s="4" t="inlineStr">
        <is>
          <t>В QS/THE отдельно не ранжируется: ранжируется Manipal Academy of Higher Education (MAHE), в составе которой MIT Manipal (QS 2027: 851–900, THE 2027: 551–600)</t>
        </is>
      </c>
    </row>
    <row r="526">
      <c r="A526" s="3" t="inlineStr">
        <is>
          <t>India|Manipal University Jaipur</t>
        </is>
      </c>
      <c r="B526" s="3" t="inlineStr">
        <is>
          <t>India</t>
        </is>
      </c>
      <c r="C526" s="3" t="inlineStr">
        <is>
          <t>Джайпур</t>
        </is>
      </c>
      <c r="D526" s="3" t="inlineStr">
        <is>
          <t>Manipal University Jaipur</t>
        </is>
      </c>
      <c r="E526" s="3" t="inlineStr">
        <is>
          <t>Manipal University Jaipur (MUJ)</t>
        </is>
      </c>
      <c r="F526" s="3" t="inlineStr">
        <is>
          <t>https://jaipur.manipal.edu</t>
        </is>
      </c>
      <c r="G526" s="3" t="inlineStr"/>
      <c r="H526" s="3" t="inlineStr">
        <is>
          <t>THE2027: 1201-1400</t>
        </is>
      </c>
      <c r="I526" s="3" t="inlineStr">
        <is>
          <t>NIRF2025 Engineering: 58</t>
        </is>
      </c>
      <c r="J526" s="4" t="inlineStr">
        <is>
          <t>не в рейтинге</t>
        </is>
      </c>
      <c r="K526" s="4" t="inlineStr">
        <is>
          <t>1201–1400</t>
        </is>
      </c>
      <c r="L526" s="4" t="inlineStr">
        <is>
          <t>нет в опубл. списке (опубликован только топ-15 страны)</t>
        </is>
      </c>
      <c r="M526" s="4" t="inlineStr">
        <is>
          <t>NIRF 2025 (Overall)</t>
        </is>
      </c>
      <c r="N526" s="4" t="inlineStr">
        <is>
          <t>98</t>
        </is>
      </c>
      <c r="O526" s="4" t="inlineStr">
        <is>
          <t>https://www.timeshighereducation.com/world-university-rankings/2027/world-ranking
https://www.nirfindia.org/Rankings/2025/OverallRanking.html</t>
        </is>
      </c>
      <c r="P526" s="4" t="inlineStr">
        <is>
          <t>NIRF 2025, другие категории: University 58, Engineering 58, Management 81, Law 32, Architecture 21</t>
        </is>
      </c>
    </row>
    <row r="527">
      <c r="A527" s="3" t="inlineStr">
        <is>
          <t>India|Maulana Azad National Urdu University</t>
        </is>
      </c>
      <c r="B527" s="3" t="inlineStr">
        <is>
          <t>India</t>
        </is>
      </c>
      <c r="C527" s="3" t="inlineStr">
        <is>
          <t>Хайдарабад</t>
        </is>
      </c>
      <c r="D527" s="3" t="inlineStr">
        <is>
          <t>Maulana Azad National Urdu University</t>
        </is>
      </c>
      <c r="E527" s="3" t="inlineStr">
        <is>
          <t>مولانا آزاد نیشنل اردو یونیورسٹی</t>
        </is>
      </c>
      <c r="F527" s="3" t="inlineStr">
        <is>
          <t>https://manuu.edu.in</t>
        </is>
      </c>
      <c r="G527" s="3" t="inlineStr"/>
      <c r="H527" s="3" t="inlineStr"/>
      <c r="I527" s="3" t="inlineStr">
        <is>
          <t>NIRF2025 Engineering: 101-150</t>
        </is>
      </c>
      <c r="J527" s="4" t="inlineStr">
        <is>
          <t>не в рейтинге</t>
        </is>
      </c>
      <c r="K527" s="4" t="inlineStr">
        <is>
          <t>не в рейтинге</t>
        </is>
      </c>
      <c r="L527" s="4" t="inlineStr">
        <is>
          <t>нет в опубл. списке (опубликован только топ-15 страны)</t>
        </is>
      </c>
      <c r="M527" s="4" t="inlineStr">
        <is>
          <t>NIRF 2025 (Overall)</t>
        </is>
      </c>
      <c r="N527" s="4" t="inlineStr">
        <is>
          <t>151–200</t>
        </is>
      </c>
      <c r="O527" s="4" t="inlineStr">
        <is>
          <t>https://www.nirfindia.org/Rankings/2025/OverallRanking200.html</t>
        </is>
      </c>
      <c r="P527" s="4" t="inlineStr">
        <is>
          <t>NIRF 2025, другие категории: University 101–150, Engineering 101–150</t>
        </is>
      </c>
    </row>
    <row r="528">
      <c r="A528" s="3" t="inlineStr">
        <is>
          <t>India|Motilal Nehru National Institute of Technology Allahabad</t>
        </is>
      </c>
      <c r="B528" s="3" t="inlineStr">
        <is>
          <t>India</t>
        </is>
      </c>
      <c r="C528" s="3" t="inlineStr">
        <is>
          <t>Праяградж (Аллахабад)</t>
        </is>
      </c>
      <c r="D528" s="3" t="inlineStr">
        <is>
          <t>Motilal Nehru National Institute of Technology Allahabad</t>
        </is>
      </c>
      <c r="E528" s="3" t="inlineStr"/>
      <c r="F528" s="3" t="inlineStr">
        <is>
          <t>https://www.mnnit.ac.in</t>
        </is>
      </c>
      <c r="G528" s="3" t="inlineStr"/>
      <c r="H528" s="3" t="inlineStr"/>
      <c r="I528" s="3" t="inlineStr">
        <is>
          <t>NIRF2025 Engineering: 62</t>
        </is>
      </c>
      <c r="J528" s="4" t="inlineStr">
        <is>
          <t>не в рейтинге</t>
        </is>
      </c>
      <c r="K528" s="4" t="inlineStr">
        <is>
          <t>не в рейтинге</t>
        </is>
      </c>
      <c r="L528" s="4" t="inlineStr">
        <is>
          <t>нет в опубл. списке (опубликован только топ-15 страны)</t>
        </is>
      </c>
      <c r="M528" s="4" t="inlineStr">
        <is>
          <t>NIRF 2025 (Overall)</t>
        </is>
      </c>
      <c r="N528" s="4" t="inlineStr">
        <is>
          <t>151–200</t>
        </is>
      </c>
      <c r="O528" s="4" t="inlineStr">
        <is>
          <t>https://www.nirfindia.org/Rankings/2025/OverallRanking200.html</t>
        </is>
      </c>
      <c r="P528" s="4" t="inlineStr">
        <is>
          <t>NIRF 2025, другие категории: Engineering 62</t>
        </is>
      </c>
    </row>
    <row r="529">
      <c r="A529" s="3" t="inlineStr">
        <is>
          <t>India|NITTE</t>
        </is>
      </c>
      <c r="B529" s="3" t="inlineStr">
        <is>
          <t>India</t>
        </is>
      </c>
      <c r="C529" s="3" t="inlineStr">
        <is>
          <t>Мангалуру (Дералакатте)</t>
        </is>
      </c>
      <c r="D529" s="3" t="inlineStr">
        <is>
          <t>NITTE</t>
        </is>
      </c>
      <c r="E529" s="3" t="inlineStr">
        <is>
          <t>Nitte (Deemed to be University), ನಿಟ್ಟೆ</t>
        </is>
      </c>
      <c r="F529" s="3" t="inlineStr">
        <is>
          <t>https://nitte.edu.in</t>
        </is>
      </c>
      <c r="G529" s="3" t="inlineStr"/>
      <c r="H529" s="3" t="inlineStr"/>
      <c r="I529" s="3" t="inlineStr">
        <is>
          <t>NIRF2025 University: 80</t>
        </is>
      </c>
      <c r="J529" s="4" t="inlineStr">
        <is>
          <t>не в рейтинге</t>
        </is>
      </c>
      <c r="K529" s="4" t="inlineStr">
        <is>
          <t>1001–1200</t>
        </is>
      </c>
      <c r="L529" s="4" t="inlineStr">
        <is>
          <t>нет в опубл. списке (опубликован только топ-15 страны)</t>
        </is>
      </c>
      <c r="M529" s="4" t="inlineStr">
        <is>
          <t>NIRF 2025 (Overall)</t>
        </is>
      </c>
      <c r="N529" s="4" t="inlineStr">
        <is>
          <t>101–150</t>
        </is>
      </c>
      <c r="O529" s="4" t="inlineStr">
        <is>
          <t>https://www.timeshighereducation.com/world-university-rankings/2027/world-ranking
https://www.nirfindia.org/Rankings/2025/OverallRanking150.html</t>
        </is>
      </c>
      <c r="P529" s="4" t="inlineStr">
        <is>
          <t>NIRF 2025, другие категории: University 80</t>
        </is>
      </c>
    </row>
    <row r="530">
      <c r="A530" s="3" t="inlineStr">
        <is>
          <t>India|National Institute of Food Technology, Enterprenurship &amp; Management</t>
        </is>
      </c>
      <c r="B530" s="3" t="inlineStr">
        <is>
          <t>India</t>
        </is>
      </c>
      <c r="C530" s="3" t="inlineStr">
        <is>
          <t>Кундли (Сонипат)</t>
        </is>
      </c>
      <c r="D530" s="3" t="inlineStr">
        <is>
          <t>National Institute of Food Technology, Enterprenurship &amp; Management</t>
        </is>
      </c>
      <c r="E530" s="3" t="inlineStr">
        <is>
          <t>राष्ट्रीय खाद्य प्रौद्योगिकी उद्यमिता एवं प्रबंधन संस्थान (NIFTEM-Kundli)</t>
        </is>
      </c>
      <c r="F530" s="3" t="inlineStr">
        <is>
          <t>https://niftem.ac.in</t>
        </is>
      </c>
      <c r="G530" s="3" t="inlineStr"/>
      <c r="H530" s="3" t="inlineStr"/>
      <c r="I530" s="3" t="inlineStr">
        <is>
          <t>NIRF2025 Engineering: 101-150</t>
        </is>
      </c>
      <c r="J530" s="4" t="inlineStr">
        <is>
          <t>не в рейтинге</t>
        </is>
      </c>
      <c r="K530" s="4" t="inlineStr">
        <is>
          <t>не в рейтинге</t>
        </is>
      </c>
      <c r="L530" s="4" t="inlineStr">
        <is>
          <t>нет в опубл. списке (опубликован только топ-15 страны)</t>
        </is>
      </c>
      <c r="M530" s="4" t="inlineStr">
        <is>
          <t>NIRF 2025 (Engineering)</t>
        </is>
      </c>
      <c r="N530" s="4" t="inlineStr">
        <is>
          <t>101–150</t>
        </is>
      </c>
      <c r="O530" s="4" t="inlineStr">
        <is>
          <t>https://www.nirfindia.org/Rankings/2025/EngineeringRanking150.html</t>
        </is>
      </c>
      <c r="P530" s="4" t="inlineStr">
        <is>
          <t>NIRF 2025, другие категории: Agriculture 22</t>
        </is>
      </c>
    </row>
    <row r="531">
      <c r="A531" s="3" t="inlineStr">
        <is>
          <t>India|National Institute of Food Technology, Entrepreneurship and Management - Thanjavur (NIFTEM - Thanjavur)</t>
        </is>
      </c>
      <c r="B531" s="3" t="inlineStr">
        <is>
          <t>India</t>
        </is>
      </c>
      <c r="C531" s="3" t="inlineStr">
        <is>
          <t>Танджавур</t>
        </is>
      </c>
      <c r="D531" s="3" t="inlineStr">
        <is>
          <t>National Institute of Food Technology, Entrepreneurship and Management - Thanjavur (NIFTEM - Thanjavur)</t>
        </is>
      </c>
      <c r="E531" s="3" t="inlineStr">
        <is>
          <t>राष्ट्रीय खाद्य प्रौद्योगिकी उद्यमशीलता एवं प्रबंधन संस्थान, तंजावुर</t>
        </is>
      </c>
      <c r="F531" s="3" t="inlineStr">
        <is>
          <t>https://niftem-t.ac.in</t>
        </is>
      </c>
      <c r="G531" s="3" t="inlineStr"/>
      <c r="H531" s="3" t="inlineStr"/>
      <c r="I531" s="3" t="inlineStr">
        <is>
          <t>NIRF2025 Engineering: 101-150</t>
        </is>
      </c>
      <c r="J531" s="4" t="inlineStr">
        <is>
          <t>не в рейтинге</t>
        </is>
      </c>
      <c r="K531" s="4" t="inlineStr">
        <is>
          <t>не в рейтинге</t>
        </is>
      </c>
      <c r="L531" s="4" t="inlineStr">
        <is>
          <t>нет в опубл. списке (опубликован только топ-15 страны)</t>
        </is>
      </c>
      <c r="M531" s="4" t="inlineStr">
        <is>
          <t>NIRF 2025 (Engineering)</t>
        </is>
      </c>
      <c r="N531" s="4" t="inlineStr">
        <is>
          <t>101–150</t>
        </is>
      </c>
      <c r="O531" s="4" t="inlineStr">
        <is>
          <t>https://www.nirfindia.org/Rankings/2025/EngineeringRanking150.html</t>
        </is>
      </c>
      <c r="P531" s="4" t="inlineStr">
        <is>
          <t>NIRF 2025, другие категории: Agriculture 13</t>
        </is>
      </c>
    </row>
    <row r="532">
      <c r="A532" s="3" t="inlineStr">
        <is>
          <t>India|National Institute of Technology Agartala</t>
        </is>
      </c>
      <c r="B532" s="3" t="inlineStr">
        <is>
          <t>India</t>
        </is>
      </c>
      <c r="C532" s="3" t="inlineStr">
        <is>
          <t>Агартала</t>
        </is>
      </c>
      <c r="D532" s="3" t="inlineStr">
        <is>
          <t>National Institute of Technology Agartala</t>
        </is>
      </c>
      <c r="E532" s="3" t="inlineStr"/>
      <c r="F532" s="3" t="inlineStr">
        <is>
          <t>https://www.nita.ac.in</t>
        </is>
      </c>
      <c r="G532" s="3" t="inlineStr"/>
      <c r="H532" s="3" t="inlineStr"/>
      <c r="I532" s="3" t="inlineStr">
        <is>
          <t>NIRF2025 Engineering: 101-150</t>
        </is>
      </c>
      <c r="J532" s="4" t="inlineStr">
        <is>
          <t>не в рейтинге</t>
        </is>
      </c>
      <c r="K532" s="4" t="inlineStr">
        <is>
          <t>не в рейтинге</t>
        </is>
      </c>
      <c r="L532" s="4" t="inlineStr">
        <is>
          <t>нет в опубл. списке (опубликован только топ-15 страны)</t>
        </is>
      </c>
      <c r="M532" s="4" t="inlineStr">
        <is>
          <t>NIRF 2025 (Engineering)</t>
        </is>
      </c>
      <c r="N532" s="4" t="inlineStr">
        <is>
          <t>101–150</t>
        </is>
      </c>
      <c r="O532" s="4" t="inlineStr">
        <is>
          <t>https://www.nirfindia.org/Rankings/2025/EngineeringRanking150.html</t>
        </is>
      </c>
      <c r="P532" s="4" t="n"/>
    </row>
    <row r="533">
      <c r="A533" s="3" t="inlineStr">
        <is>
          <t>India|National Institute of Technology Arunachal Pradesh</t>
        </is>
      </c>
      <c r="B533" s="3" t="inlineStr">
        <is>
          <t>India</t>
        </is>
      </c>
      <c r="C533" s="3" t="inlineStr">
        <is>
          <t>Джоте (округ Папум Паре, близ Итанагара)</t>
        </is>
      </c>
      <c r="D533" s="3" t="inlineStr">
        <is>
          <t>National Institute of Technology Arunachal Pradesh</t>
        </is>
      </c>
      <c r="E533" s="3" t="inlineStr">
        <is>
          <t>राष्ट्रीय प्रौद्योगिकी संस्थान अरुणाचल प्रदेश</t>
        </is>
      </c>
      <c r="F533" s="3" t="inlineStr">
        <is>
          <t>https://www.nitap.ac.in</t>
        </is>
      </c>
      <c r="G533" s="3" t="inlineStr"/>
      <c r="H533" s="3" t="inlineStr"/>
      <c r="I533" s="3" t="inlineStr">
        <is>
          <t>NIRF2025 Engineering: 101-150</t>
        </is>
      </c>
      <c r="J533" s="4" t="inlineStr">
        <is>
          <t>не в рейтинге</t>
        </is>
      </c>
      <c r="K533" s="4" t="inlineStr">
        <is>
          <t>не в рейтинге</t>
        </is>
      </c>
      <c r="L533" s="4" t="inlineStr">
        <is>
          <t>нет в опубл. списке (опубликован только топ-15 страны)</t>
        </is>
      </c>
      <c r="M533" s="4" t="inlineStr">
        <is>
          <t>NIRF 2025 (Engineering)</t>
        </is>
      </c>
      <c r="N533" s="4" t="inlineStr">
        <is>
          <t>101–150</t>
        </is>
      </c>
      <c r="O533" s="4" t="inlineStr">
        <is>
          <t>https://www.nirfindia.org/Rankings/2025/EngineeringRanking150.html</t>
        </is>
      </c>
      <c r="P533" s="4" t="n"/>
    </row>
    <row r="534">
      <c r="A534" s="3" t="inlineStr">
        <is>
          <t>India|National Institute of Technology Calicut</t>
        </is>
      </c>
      <c r="B534" s="3" t="inlineStr">
        <is>
          <t>India</t>
        </is>
      </c>
      <c r="C534" s="3" t="inlineStr">
        <is>
          <t>Кожикоде (Каликут)</t>
        </is>
      </c>
      <c r="D534" s="3" t="inlineStr">
        <is>
          <t>National Institute of Technology Calicut</t>
        </is>
      </c>
      <c r="E534" s="3" t="inlineStr">
        <is>
          <t>राष्ट्रीय प्रौद्योगिकी संस्थान कालीकट</t>
        </is>
      </c>
      <c r="F534" s="3" t="inlineStr">
        <is>
          <t>https://nitc.ac.in</t>
        </is>
      </c>
      <c r="G534" s="3" t="inlineStr"/>
      <c r="H534" s="3" t="inlineStr"/>
      <c r="I534" s="3" t="inlineStr">
        <is>
          <t>NIRF2025 Engineering: 21</t>
        </is>
      </c>
      <c r="J534" s="4" t="inlineStr">
        <is>
          <t>не в рейтинге</t>
        </is>
      </c>
      <c r="K534" s="4" t="inlineStr">
        <is>
          <t>не в рейтинге</t>
        </is>
      </c>
      <c r="L534" s="4" t="inlineStr">
        <is>
          <t>нет в опубл. списке (опубликован только топ-15 страны)</t>
        </is>
      </c>
      <c r="M534" s="4" t="inlineStr">
        <is>
          <t>NIRF 2025 (Overall)</t>
        </is>
      </c>
      <c r="N534" s="4" t="inlineStr">
        <is>
          <t>45</t>
        </is>
      </c>
      <c r="O534" s="4" t="inlineStr">
        <is>
          <t>https://www.nirfindia.org/Rankings/2025/OverallRanking.html</t>
        </is>
      </c>
      <c r="P534" s="4" t="inlineStr">
        <is>
          <t>NIRF 2025, другие категории: Engineering 21, Management 85, Architecture 2</t>
        </is>
      </c>
    </row>
    <row r="535">
      <c r="A535" s="3" t="inlineStr">
        <is>
          <t>India|National Institute of Technology Delhi</t>
        </is>
      </c>
      <c r="B535" s="3" t="inlineStr">
        <is>
          <t>India</t>
        </is>
      </c>
      <c r="C535" s="3" t="inlineStr">
        <is>
          <t>Нью-Дели</t>
        </is>
      </c>
      <c r="D535" s="3" t="inlineStr">
        <is>
          <t>National Institute of Technology Delhi</t>
        </is>
      </c>
      <c r="E535" s="3" t="inlineStr">
        <is>
          <t>राष्ट्रीय प्रौद्योगिकी संस्थान दिल्ली</t>
        </is>
      </c>
      <c r="F535" s="3" t="inlineStr">
        <is>
          <t>https://nitdelhi.ac.in</t>
        </is>
      </c>
      <c r="G535" s="3" t="inlineStr"/>
      <c r="H535" s="3" t="inlineStr"/>
      <c r="I535" s="3" t="inlineStr">
        <is>
          <t>NIRF2025 Engineering: 65</t>
        </is>
      </c>
      <c r="J535" s="4" t="inlineStr">
        <is>
          <t>не в рейтинге</t>
        </is>
      </c>
      <c r="K535" s="4" t="inlineStr">
        <is>
          <t>не в рейтинге</t>
        </is>
      </c>
      <c r="L535" s="4" t="inlineStr">
        <is>
          <t>нет в опубл. списке (опубликован только топ-15 страны)</t>
        </is>
      </c>
      <c r="M535" s="4" t="inlineStr">
        <is>
          <t>NIRF 2025 (Overall)</t>
        </is>
      </c>
      <c r="N535" s="4" t="inlineStr">
        <is>
          <t>101–150</t>
        </is>
      </c>
      <c r="O535" s="4" t="inlineStr">
        <is>
          <t>https://www.nirfindia.org/Rankings/2025/OverallRanking150.html</t>
        </is>
      </c>
      <c r="P535" s="4" t="inlineStr">
        <is>
          <t>NIRF 2025, другие категории: Engineering 65</t>
        </is>
      </c>
    </row>
    <row r="536">
      <c r="A536" s="3" t="inlineStr">
        <is>
          <t>India|National Institute of Technology Durgapur</t>
        </is>
      </c>
      <c r="B536" s="3" t="inlineStr">
        <is>
          <t>India</t>
        </is>
      </c>
      <c r="C536" s="3" t="inlineStr">
        <is>
          <t>Дургапур</t>
        </is>
      </c>
      <c r="D536" s="3" t="inlineStr">
        <is>
          <t>National Institute of Technology Durgapur</t>
        </is>
      </c>
      <c r="E536" s="3" t="inlineStr">
        <is>
          <t>राष्ट्रीय प्रौद्योगिकी संस्थान दुर्गापुर</t>
        </is>
      </c>
      <c r="F536" s="3" t="inlineStr">
        <is>
          <t>https://nitdgp.ac.in</t>
        </is>
      </c>
      <c r="G536" s="3" t="inlineStr"/>
      <c r="H536" s="3" t="inlineStr"/>
      <c r="I536" s="3" t="inlineStr">
        <is>
          <t>NIRF2025 Engineering: 49</t>
        </is>
      </c>
      <c r="J536" s="4" t="inlineStr">
        <is>
          <t>не в рейтинге</t>
        </is>
      </c>
      <c r="K536" s="4" t="inlineStr">
        <is>
          <t>не в рейтинге</t>
        </is>
      </c>
      <c r="L536" s="4" t="inlineStr">
        <is>
          <t>нет в опубл. списке (опубликован только топ-15 страны)</t>
        </is>
      </c>
      <c r="M536" s="4" t="inlineStr">
        <is>
          <t>NIRF 2025 (Overall)</t>
        </is>
      </c>
      <c r="N536" s="4" t="inlineStr">
        <is>
          <t>101–150</t>
        </is>
      </c>
      <c r="O536" s="4" t="inlineStr">
        <is>
          <t>https://www.nirfindia.org/Rankings/2025/OverallRanking150.html</t>
        </is>
      </c>
      <c r="P536" s="4" t="inlineStr">
        <is>
          <t>NIRF 2025, другие категории: Engineering 49</t>
        </is>
      </c>
    </row>
    <row r="537">
      <c r="A537" s="3" t="inlineStr">
        <is>
          <t>India|National Institute of Technology Goa</t>
        </is>
      </c>
      <c r="B537" s="3" t="inlineStr">
        <is>
          <t>India</t>
        </is>
      </c>
      <c r="C537" s="3" t="inlineStr">
        <is>
          <t>Кунколим (Гоа)</t>
        </is>
      </c>
      <c r="D537" s="3" t="inlineStr">
        <is>
          <t>National Institute of Technology Goa</t>
        </is>
      </c>
      <c r="E537" s="3" t="inlineStr">
        <is>
          <t>राष्ट्रीय प्रौद्योगिकी संस्थान गोवा</t>
        </is>
      </c>
      <c r="F537" s="3" t="inlineStr">
        <is>
          <t>https://www.nitgoa.ac.in</t>
        </is>
      </c>
      <c r="G537" s="3" t="inlineStr"/>
      <c r="H537" s="3" t="inlineStr"/>
      <c r="I537" s="3" t="inlineStr">
        <is>
          <t>NIRF2025 Engineering: 101-150</t>
        </is>
      </c>
      <c r="J537" s="4" t="inlineStr">
        <is>
          <t>не в рейтинге</t>
        </is>
      </c>
      <c r="K537" s="4" t="inlineStr">
        <is>
          <t>не в рейтинге</t>
        </is>
      </c>
      <c r="L537" s="4" t="inlineStr">
        <is>
          <t>нет в опубл. списке (опубликован только топ-15 страны)</t>
        </is>
      </c>
      <c r="M537" s="4" t="inlineStr">
        <is>
          <t>NIRF 2025 (Engineering)</t>
        </is>
      </c>
      <c r="N537" s="4" t="inlineStr">
        <is>
          <t>101–150</t>
        </is>
      </c>
      <c r="O537" s="4" t="inlineStr">
        <is>
          <t>https://www.nirfindia.org/Rankings/2025/EngineeringRanking150.html</t>
        </is>
      </c>
      <c r="P537" s="4" t="n"/>
    </row>
    <row r="538">
      <c r="A538" s="3" t="inlineStr">
        <is>
          <t>India|National Institute of Technology Hamirpur</t>
        </is>
      </c>
      <c r="B538" s="3" t="inlineStr">
        <is>
          <t>India</t>
        </is>
      </c>
      <c r="C538" s="3" t="inlineStr">
        <is>
          <t>Хамирпур</t>
        </is>
      </c>
      <c r="D538" s="3" t="inlineStr">
        <is>
          <t>National Institute of Technology Hamirpur</t>
        </is>
      </c>
      <c r="E538" s="3" t="inlineStr">
        <is>
          <t>राष्ट्रीय प्रौद्योगिकी संस्थान हमीरपुर</t>
        </is>
      </c>
      <c r="F538" s="3" t="inlineStr">
        <is>
          <t>https://nith.ac.in</t>
        </is>
      </c>
      <c r="G538" s="3" t="inlineStr"/>
      <c r="H538" s="3" t="inlineStr"/>
      <c r="I538" s="3" t="inlineStr">
        <is>
          <t>NIRF2025 Engineering: 97</t>
        </is>
      </c>
      <c r="J538" s="4" t="inlineStr">
        <is>
          <t>не в рейтинге</t>
        </is>
      </c>
      <c r="K538" s="4" t="inlineStr">
        <is>
          <t>не в рейтинге</t>
        </is>
      </c>
      <c r="L538" s="4" t="inlineStr">
        <is>
          <t>нет в опубл. списке (опубликован только топ-15 страны)</t>
        </is>
      </c>
      <c r="M538" s="4" t="inlineStr">
        <is>
          <t>NIRF 2025 (Engineering)</t>
        </is>
      </c>
      <c r="N538" s="4" t="inlineStr">
        <is>
          <t>97</t>
        </is>
      </c>
      <c r="O538" s="4" t="inlineStr">
        <is>
          <t>https://www.nirfindia.org/Rankings/2025/EngineeringRanking.html</t>
        </is>
      </c>
      <c r="P538" s="4" t="inlineStr">
        <is>
          <t>NIRF 2025, другие категории: Architecture 30</t>
        </is>
      </c>
    </row>
    <row r="539">
      <c r="A539" s="3" t="inlineStr">
        <is>
          <t>India|National Institute of Technology Jamshedpur</t>
        </is>
      </c>
      <c r="B539" s="3" t="inlineStr">
        <is>
          <t>India</t>
        </is>
      </c>
      <c r="C539" s="3" t="inlineStr">
        <is>
          <t>Джамшедпур</t>
        </is>
      </c>
      <c r="D539" s="3" t="inlineStr">
        <is>
          <t>National Institute of Technology Jamshedpur</t>
        </is>
      </c>
      <c r="E539" s="3" t="inlineStr">
        <is>
          <t>राष्ट्रीय प्रौद्योगिकी संस्थान जमशेदपुर</t>
        </is>
      </c>
      <c r="F539" s="3" t="inlineStr">
        <is>
          <t>https://www.nitjsr.ac.in</t>
        </is>
      </c>
      <c r="G539" s="3" t="inlineStr"/>
      <c r="H539" s="3" t="inlineStr"/>
      <c r="I539" s="3" t="inlineStr">
        <is>
          <t>NIRF2025 Engineering: 82</t>
        </is>
      </c>
      <c r="J539" s="4" t="inlineStr">
        <is>
          <t>не в рейтинге</t>
        </is>
      </c>
      <c r="K539" s="4" t="inlineStr">
        <is>
          <t>не в рейтинге</t>
        </is>
      </c>
      <c r="L539" s="4" t="inlineStr">
        <is>
          <t>нет в опубл. списке (опубликован только топ-15 страны)</t>
        </is>
      </c>
      <c r="M539" s="4" t="inlineStr">
        <is>
          <t>NIRF 2025 (Engineering)</t>
        </is>
      </c>
      <c r="N539" s="4" t="inlineStr">
        <is>
          <t>82</t>
        </is>
      </c>
      <c r="O539" s="4" t="inlineStr">
        <is>
          <t>https://www.nirfindia.org/Rankings/2025/EngineeringRanking.html</t>
        </is>
      </c>
      <c r="P539" s="4" t="n"/>
    </row>
    <row r="540">
      <c r="A540" s="3" t="inlineStr">
        <is>
          <t>India|National Institute of Technology Karnataka, Surathkal</t>
        </is>
      </c>
      <c r="B540" s="3" t="inlineStr">
        <is>
          <t>India</t>
        </is>
      </c>
      <c r="C540" s="3" t="inlineStr">
        <is>
          <t>Суратхкал (Мангалуру)</t>
        </is>
      </c>
      <c r="D540" s="3" t="inlineStr">
        <is>
          <t>National Institute of Technology Karnataka, Surathkal</t>
        </is>
      </c>
      <c r="E540" s="3" t="inlineStr">
        <is>
          <t>राष्ट्रीय प्रौद्योगिकी संस्थान कर्नाटक, सुरतकल</t>
        </is>
      </c>
      <c r="F540" s="3" t="inlineStr">
        <is>
          <t>https://www.nitk.ac.in</t>
        </is>
      </c>
      <c r="G540" s="3" t="inlineStr"/>
      <c r="H540" s="3" t="inlineStr"/>
      <c r="I540" s="3" t="inlineStr">
        <is>
          <t>NIRF2025 Engineering: 17</t>
        </is>
      </c>
      <c r="J540" s="4" t="inlineStr">
        <is>
          <t>не в рейтинге</t>
        </is>
      </c>
      <c r="K540" s="4" t="inlineStr">
        <is>
          <t>не в рейтинге</t>
        </is>
      </c>
      <c r="L540" s="4" t="inlineStr">
        <is>
          <t>нет в опубл. списке (опубликован только топ-15 страны)</t>
        </is>
      </c>
      <c r="M540" s="4" t="inlineStr">
        <is>
          <t>NIRF 2025 (Overall)</t>
        </is>
      </c>
      <c r="N540" s="4" t="inlineStr">
        <is>
          <t>54</t>
        </is>
      </c>
      <c r="O540" s="4" t="inlineStr">
        <is>
          <t>https://www.nirfindia.org/Rankings/2025/OverallRanking.html</t>
        </is>
      </c>
      <c r="P540" s="4" t="inlineStr">
        <is>
          <t>NIRF 2025, другие категории: Engineering 17</t>
        </is>
      </c>
    </row>
    <row r="541">
      <c r="A541" s="3" t="inlineStr">
        <is>
          <t>India|National Institute of Technology Kurukshetra</t>
        </is>
      </c>
      <c r="B541" s="3" t="inlineStr">
        <is>
          <t>India</t>
        </is>
      </c>
      <c r="C541" s="3" t="inlineStr">
        <is>
          <t>Курукшетра</t>
        </is>
      </c>
      <c r="D541" s="3" t="inlineStr">
        <is>
          <t>National Institute of Technology Kurukshetra</t>
        </is>
      </c>
      <c r="E541" s="3" t="inlineStr">
        <is>
          <t>राष्ट्रीय प्रौद्योगिकी संस्थान कुरुक्षेत्र</t>
        </is>
      </c>
      <c r="F541" s="3" t="inlineStr">
        <is>
          <t>https://nitkkr.ac.in</t>
        </is>
      </c>
      <c r="G541" s="3" t="inlineStr"/>
      <c r="H541" s="3" t="inlineStr"/>
      <c r="I541" s="3" t="inlineStr">
        <is>
          <t>NIRF2025 Engineering: 85</t>
        </is>
      </c>
      <c r="J541" s="4" t="inlineStr">
        <is>
          <t>не в рейтинге</t>
        </is>
      </c>
      <c r="K541" s="4" t="inlineStr">
        <is>
          <t>не в рейтинге</t>
        </is>
      </c>
      <c r="L541" s="4" t="inlineStr">
        <is>
          <t>нет в опубл. списке (опубликован только топ-15 страны)</t>
        </is>
      </c>
      <c r="M541" s="4" t="inlineStr">
        <is>
          <t>NIRF 2025 (Overall)</t>
        </is>
      </c>
      <c r="N541" s="4" t="inlineStr">
        <is>
          <t>151–200</t>
        </is>
      </c>
      <c r="O541" s="4" t="inlineStr">
        <is>
          <t>https://www.nirfindia.org/Rankings/2025/OverallRanking200.html</t>
        </is>
      </c>
      <c r="P541" s="4" t="inlineStr">
        <is>
          <t>NIRF 2025, другие категории: Engineering 85</t>
        </is>
      </c>
    </row>
    <row r="542">
      <c r="A542" s="3" t="inlineStr">
        <is>
          <t>India|National Institute of Technology Meghalaya</t>
        </is>
      </c>
      <c r="B542" s="3" t="inlineStr">
        <is>
          <t>India</t>
        </is>
      </c>
      <c r="C542" s="3" t="inlineStr">
        <is>
          <t>Сохра (округ Восточные Кхаси-Хиллз, близ Шиллонга)</t>
        </is>
      </c>
      <c r="D542" s="3" t="inlineStr">
        <is>
          <t>National Institute of Technology Meghalaya</t>
        </is>
      </c>
      <c r="E542" s="3" t="inlineStr">
        <is>
          <t>राष्ट्रीय प्रौद्योगिकी संस्थान मेघालय</t>
        </is>
      </c>
      <c r="F542" s="3" t="inlineStr">
        <is>
          <t>https://www.nitm.ac.in</t>
        </is>
      </c>
      <c r="G542" s="3" t="inlineStr"/>
      <c r="H542" s="3" t="inlineStr">
        <is>
          <t>THE2027: 1201–1400</t>
        </is>
      </c>
      <c r="I542" s="3" t="inlineStr">
        <is>
          <t>NIRF2025 Engineering: 83</t>
        </is>
      </c>
      <c r="J542" s="4" t="inlineStr">
        <is>
          <t>не в рейтинге</t>
        </is>
      </c>
      <c r="K542" s="4" t="inlineStr">
        <is>
          <t>1201–1400</t>
        </is>
      </c>
      <c r="L542" s="4" t="inlineStr">
        <is>
          <t>нет в опубл. списке (опубликован только топ-15 страны)</t>
        </is>
      </c>
      <c r="M542" s="4" t="inlineStr">
        <is>
          <t>NIRF 2025 (Engineering)</t>
        </is>
      </c>
      <c r="N542" s="4" t="inlineStr">
        <is>
          <t>83</t>
        </is>
      </c>
      <c r="O542" s="4" t="inlineStr">
        <is>
          <t>https://www.timeshighereducation.com/world-university-rankings/2027/world-ranking
https://www.nirfindia.org/Rankings/2025/EngineeringRanking.html</t>
        </is>
      </c>
      <c r="P542" s="4" t="n"/>
    </row>
    <row r="543">
      <c r="A543" s="3" t="inlineStr">
        <is>
          <t>India|National Institute of Technology Mizoram</t>
        </is>
      </c>
      <c r="B543" s="3" t="inlineStr">
        <is>
          <t>India</t>
        </is>
      </c>
      <c r="C543" s="3" t="inlineStr">
        <is>
          <t>Айзол</t>
        </is>
      </c>
      <c r="D543" s="3" t="inlineStr">
        <is>
          <t>National Institute of Technology Mizoram</t>
        </is>
      </c>
      <c r="E543" s="3" t="inlineStr"/>
      <c r="F543" s="3" t="inlineStr">
        <is>
          <t>https://www.nitmz.ac.in</t>
        </is>
      </c>
      <c r="G543" s="3" t="inlineStr"/>
      <c r="H543" s="3" t="inlineStr"/>
      <c r="I543" s="3" t="inlineStr">
        <is>
          <t>NIRF2025 Engineering: 101-150</t>
        </is>
      </c>
      <c r="J543" s="4" t="inlineStr">
        <is>
          <t>не в рейтинге</t>
        </is>
      </c>
      <c r="K543" s="4" t="inlineStr">
        <is>
          <t>не в рейтинге</t>
        </is>
      </c>
      <c r="L543" s="4" t="inlineStr">
        <is>
          <t>нет в опубл. списке (опубликован только топ-15 страны)</t>
        </is>
      </c>
      <c r="M543" s="4" t="inlineStr">
        <is>
          <t>NIRF 2025 (Engineering)</t>
        </is>
      </c>
      <c r="N543" s="4" t="inlineStr">
        <is>
          <t>101–150</t>
        </is>
      </c>
      <c r="O543" s="4" t="inlineStr">
        <is>
          <t>https://www.nirfindia.org/Rankings/2025/EngineeringRanking150.html</t>
        </is>
      </c>
      <c r="P543" s="4" t="n"/>
    </row>
    <row r="544">
      <c r="A544" s="3" t="inlineStr">
        <is>
          <t>India|National Institute of Technology Patna</t>
        </is>
      </c>
      <c r="B544" s="3" t="inlineStr">
        <is>
          <t>India</t>
        </is>
      </c>
      <c r="C544" s="3" t="inlineStr">
        <is>
          <t>Патна</t>
        </is>
      </c>
      <c r="D544" s="3" t="inlineStr">
        <is>
          <t>National Institute of Technology Patna</t>
        </is>
      </c>
      <c r="E544" s="3" t="inlineStr">
        <is>
          <t>राष्ट्रीय प्रौद्योगिकी संस्थान पटना</t>
        </is>
      </c>
      <c r="F544" s="3" t="inlineStr">
        <is>
          <t>https://www.nitp.ac.in</t>
        </is>
      </c>
      <c r="G544" s="3" t="inlineStr"/>
      <c r="H544" s="3" t="inlineStr"/>
      <c r="I544" s="3" t="inlineStr">
        <is>
          <t>NIRF2025 Engineering: 53</t>
        </is>
      </c>
      <c r="J544" s="4" t="inlineStr">
        <is>
          <t>не в рейтинге</t>
        </is>
      </c>
      <c r="K544" s="4" t="inlineStr">
        <is>
          <t>не в рейтинге</t>
        </is>
      </c>
      <c r="L544" s="4" t="inlineStr">
        <is>
          <t>нет в опубл. списке (опубликован только топ-15 страны)</t>
        </is>
      </c>
      <c r="M544" s="4" t="inlineStr">
        <is>
          <t>NIRF 2025 (Overall)</t>
        </is>
      </c>
      <c r="N544" s="4" t="inlineStr">
        <is>
          <t>101–150</t>
        </is>
      </c>
      <c r="O544" s="4" t="inlineStr">
        <is>
          <t>https://www.nirfindia.org/Rankings/2025/OverallRanking150.html</t>
        </is>
      </c>
      <c r="P544" s="4" t="inlineStr">
        <is>
          <t>NIRF 2025, другие категории: Engineering 53, Architecture 13</t>
        </is>
      </c>
    </row>
    <row r="545">
      <c r="A545" s="3" t="inlineStr">
        <is>
          <t>India|National Institute of Technology Raipur</t>
        </is>
      </c>
      <c r="B545" s="3" t="inlineStr">
        <is>
          <t>India</t>
        </is>
      </c>
      <c r="C545" s="3" t="inlineStr">
        <is>
          <t>Райпур</t>
        </is>
      </c>
      <c r="D545" s="3" t="inlineStr">
        <is>
          <t>National Institute of Technology Raipur</t>
        </is>
      </c>
      <c r="E545" s="3" t="inlineStr"/>
      <c r="F545" s="3" t="inlineStr">
        <is>
          <t>https://www.nitrr.ac.in</t>
        </is>
      </c>
      <c r="G545" s="3" t="inlineStr"/>
      <c r="H545" s="3" t="inlineStr">
        <is>
          <t>THE2027: 1201–1400</t>
        </is>
      </c>
      <c r="I545" s="3" t="inlineStr">
        <is>
          <t>NIRF2025 Engineering: 86</t>
        </is>
      </c>
      <c r="J545" s="4" t="inlineStr">
        <is>
          <t>не в рейтинге</t>
        </is>
      </c>
      <c r="K545" s="4" t="inlineStr">
        <is>
          <t>1201–1400</t>
        </is>
      </c>
      <c r="L545" s="4" t="inlineStr">
        <is>
          <t>нет в опубл. списке (опубликован только топ-15 страны)</t>
        </is>
      </c>
      <c r="M545" s="4" t="inlineStr">
        <is>
          <t>NIRF 2025 (Overall)</t>
        </is>
      </c>
      <c r="N545" s="4" t="inlineStr">
        <is>
          <t>151–200</t>
        </is>
      </c>
      <c r="O545" s="4" t="inlineStr">
        <is>
          <t>https://www.timeshighereducation.com/world-university-rankings/2027/world-ranking
https://www.nirfindia.org/Rankings/2025/OverallRanking200.html</t>
        </is>
      </c>
      <c r="P545" s="4" t="inlineStr">
        <is>
          <t>NIRF 2025, другие категории: Engineering 86, Architecture 35</t>
        </is>
      </c>
    </row>
    <row r="546">
      <c r="A546" s="3" t="inlineStr">
        <is>
          <t>India|National Institute of Technology Rourkela</t>
        </is>
      </c>
      <c r="B546" s="3" t="inlineStr">
        <is>
          <t>India</t>
        </is>
      </c>
      <c r="C546" s="3" t="inlineStr">
        <is>
          <t>Руркела</t>
        </is>
      </c>
      <c r="D546" s="3" t="inlineStr">
        <is>
          <t>National Institute of Technology Rourkela</t>
        </is>
      </c>
      <c r="E546" s="3" t="inlineStr">
        <is>
          <t>राष्ट्रीय प्रौद्योगिकी संस्थान राउरकेला</t>
        </is>
      </c>
      <c r="F546" s="3" t="inlineStr">
        <is>
          <t>https://www.nitrkl.ac.in</t>
        </is>
      </c>
      <c r="G546" s="3" t="inlineStr"/>
      <c r="H546" s="3" t="inlineStr">
        <is>
          <t>THE2027: 801–1000</t>
        </is>
      </c>
      <c r="I546" s="3" t="inlineStr">
        <is>
          <t>NIRF2025 Engineering: 13</t>
        </is>
      </c>
      <c r="J546" s="4" t="inlineStr">
        <is>
          <t>не в рейтинге</t>
        </is>
      </c>
      <c r="K546" s="4" t="inlineStr">
        <is>
          <t>801–1000</t>
        </is>
      </c>
      <c r="L546" s="4" t="inlineStr">
        <is>
          <t>нет в опубл. списке (опубликован только топ-15 страны)</t>
        </is>
      </c>
      <c r="M546" s="4" t="inlineStr">
        <is>
          <t>NIRF 2025 (Overall)</t>
        </is>
      </c>
      <c r="N546" s="4" t="inlineStr">
        <is>
          <t>34</t>
        </is>
      </c>
      <c r="O546" s="4" t="inlineStr">
        <is>
          <t>https://www.timeshighereducation.com/world-university-rankings/2027/world-ranking
https://www.nirfindia.org/Rankings/2025/OverallRanking.html</t>
        </is>
      </c>
      <c r="P546" s="4" t="inlineStr">
        <is>
          <t>NIRF 2025, другие категории: Engineering 13, Research 30, Architecture 7</t>
        </is>
      </c>
    </row>
    <row r="547">
      <c r="A547" s="3" t="inlineStr">
        <is>
          <t>India|National Institute of Technology Silchar</t>
        </is>
      </c>
      <c r="B547" s="3" t="inlineStr">
        <is>
          <t>India</t>
        </is>
      </c>
      <c r="C547" s="3" t="inlineStr">
        <is>
          <t>Силчар</t>
        </is>
      </c>
      <c r="D547" s="3" t="inlineStr">
        <is>
          <t>National Institute of Technology Silchar</t>
        </is>
      </c>
      <c r="E547" s="3" t="inlineStr">
        <is>
          <t>राष्ट्रीय प्रौद्योगिकी संस्थान सिलचर</t>
        </is>
      </c>
      <c r="F547" s="3" t="inlineStr">
        <is>
          <t>https://www.nits.ac.in</t>
        </is>
      </c>
      <c r="G547" s="3" t="inlineStr"/>
      <c r="H547" s="3" t="inlineStr">
        <is>
          <t>THE2027: 801–1000</t>
        </is>
      </c>
      <c r="I547" s="3" t="inlineStr">
        <is>
          <t>NIRF2025 Engineering: 50</t>
        </is>
      </c>
      <c r="J547" s="4" t="inlineStr">
        <is>
          <t>не в рейтинге</t>
        </is>
      </c>
      <c r="K547" s="4" t="inlineStr">
        <is>
          <t>801–1000</t>
        </is>
      </c>
      <c r="L547" s="4" t="inlineStr">
        <is>
          <t>нет в опубл. списке (опубликован только топ-15 страны)</t>
        </is>
      </c>
      <c r="M547" s="4" t="inlineStr">
        <is>
          <t>NIRF 2025 (Overall)</t>
        </is>
      </c>
      <c r="N547" s="4" t="inlineStr">
        <is>
          <t>97</t>
        </is>
      </c>
      <c r="O547" s="4" t="inlineStr">
        <is>
          <t>https://www.timeshighereducation.com/world-university-rankings/2027/world-ranking
https://www.nirfindia.org/Rankings/2025/OverallRanking.html</t>
        </is>
      </c>
      <c r="P547" s="4" t="inlineStr">
        <is>
          <t>NIRF 2025, другие категории: Engineering 50</t>
        </is>
      </c>
    </row>
    <row r="548">
      <c r="A548" s="3" t="inlineStr">
        <is>
          <t>India|National Institute of Technology Srinagar</t>
        </is>
      </c>
      <c r="B548" s="3" t="inlineStr">
        <is>
          <t>India</t>
        </is>
      </c>
      <c r="C548" s="3" t="inlineStr">
        <is>
          <t>Сринагар</t>
        </is>
      </c>
      <c r="D548" s="3" t="inlineStr">
        <is>
          <t>National Institute of Technology Srinagar</t>
        </is>
      </c>
      <c r="E548" s="3" t="inlineStr">
        <is>
          <t>राष्ट्रीय प्रौद्योगिकी संस्थान श्रीनगर</t>
        </is>
      </c>
      <c r="F548" s="3" t="inlineStr">
        <is>
          <t>https://nitsri.ac.in</t>
        </is>
      </c>
      <c r="G548" s="3" t="inlineStr"/>
      <c r="H548" s="3" t="inlineStr"/>
      <c r="I548" s="3" t="inlineStr">
        <is>
          <t>NIRF2025 Engineering: 73</t>
        </is>
      </c>
      <c r="J548" s="4" t="inlineStr">
        <is>
          <t>не в рейтинге</t>
        </is>
      </c>
      <c r="K548" s="4" t="inlineStr">
        <is>
          <t>1401–1600</t>
        </is>
      </c>
      <c r="L548" s="4" t="inlineStr">
        <is>
          <t>нет в опубл. списке (опубликован только топ-15 страны)</t>
        </is>
      </c>
      <c r="M548" s="4" t="inlineStr">
        <is>
          <t>NIRF 2025 (Overall)</t>
        </is>
      </c>
      <c r="N548" s="4" t="inlineStr">
        <is>
          <t>101–150</t>
        </is>
      </c>
      <c r="O548" s="4" t="inlineStr">
        <is>
          <t>https://www.timeshighereducation.com/world-university-rankings/2027/world-ranking
https://www.nirfindia.org/Rankings/2025/OverallRanking150.html</t>
        </is>
      </c>
      <c r="P548" s="4" t="inlineStr">
        <is>
          <t>NIRF 2025, другие категории: Engineering 73</t>
        </is>
      </c>
    </row>
    <row r="549">
      <c r="A549" s="3" t="inlineStr">
        <is>
          <t>India|National Institute of Technology Tiruchirappalli (NIT Trichy)</t>
        </is>
      </c>
      <c r="B549" s="3" t="inlineStr">
        <is>
          <t>India</t>
        </is>
      </c>
      <c r="C549" s="3" t="inlineStr">
        <is>
          <t>Тиручирапалли</t>
        </is>
      </c>
      <c r="D549" s="3" t="inlineStr">
        <is>
          <t>National Institute of Technology Tiruchirappalli (NIT Trichy)</t>
        </is>
      </c>
      <c r="E549" s="3" t="inlineStr">
        <is>
          <t>தேசிய தொழில்நுட்பக் கழகம், திருச்சிராப்பள்ளி</t>
        </is>
      </c>
      <c r="F549" s="3" t="inlineStr">
        <is>
          <t>https://www.nitt.edu</t>
        </is>
      </c>
      <c r="G549" s="3" t="inlineStr">
        <is>
          <t>QS2027: 721-730</t>
        </is>
      </c>
      <c r="H549" s="3" t="inlineStr"/>
      <c r="I549" s="3" t="inlineStr">
        <is>
          <t>NIRF2025 Engineering: 9</t>
        </is>
      </c>
      <c r="J549" s="4" t="inlineStr">
        <is>
          <t>721–730</t>
        </is>
      </c>
      <c r="K549" s="4" t="inlineStr">
        <is>
          <t>не в рейтинге</t>
        </is>
      </c>
      <c r="L549" s="4" t="inlineStr">
        <is>
          <t>нет в опубл. списке (опубликован только топ-15 страны)</t>
        </is>
      </c>
      <c r="M549" s="4" t="inlineStr">
        <is>
          <t>NIRF 2025 (Overall)</t>
        </is>
      </c>
      <c r="N549" s="4" t="inlineStr">
        <is>
          <t>30</t>
        </is>
      </c>
      <c r="O549" s="4" t="inlineStr">
        <is>
          <t>https://www.topuniversities.com/world-university-rankings (QS WUR 2027)
https://www.nirfindia.org/Rankings/2025/OverallRanking.html</t>
        </is>
      </c>
      <c r="P549" s="4" t="inlineStr">
        <is>
          <t>NIRF 2025, другие категории: Engineering 9, Research 33, Management 57, Architecture 9</t>
        </is>
      </c>
    </row>
    <row r="550">
      <c r="A550" s="3" t="inlineStr">
        <is>
          <t>India|National Institute of Technology Warangal</t>
        </is>
      </c>
      <c r="B550" s="3" t="inlineStr">
        <is>
          <t>India</t>
        </is>
      </c>
      <c r="C550" s="3" t="inlineStr">
        <is>
          <t>Варангал</t>
        </is>
      </c>
      <c r="D550" s="3" t="inlineStr">
        <is>
          <t>National Institute of Technology Warangal</t>
        </is>
      </c>
      <c r="E550" s="3" t="inlineStr">
        <is>
          <t>राष्ट्रीय प्रौद्योगिकी संस्थान वरंगल</t>
        </is>
      </c>
      <c r="F550" s="3" t="inlineStr">
        <is>
          <t>https://nitw.ac.in</t>
        </is>
      </c>
      <c r="G550" s="3" t="inlineStr"/>
      <c r="H550" s="3" t="inlineStr"/>
      <c r="I550" s="3" t="inlineStr">
        <is>
          <t>NIRF2025 Engineering: 28</t>
        </is>
      </c>
      <c r="J550" s="4" t="inlineStr">
        <is>
          <t>не в рейтинге</t>
        </is>
      </c>
      <c r="K550" s="4" t="inlineStr">
        <is>
          <t>не в рейтинге</t>
        </is>
      </c>
      <c r="L550" s="4" t="inlineStr">
        <is>
          <t>нет в опубл. списке (опубликован только топ-15 страны)</t>
        </is>
      </c>
      <c r="M550" s="4" t="inlineStr">
        <is>
          <t>NIRF 2025 (Overall)</t>
        </is>
      </c>
      <c r="N550" s="4" t="inlineStr">
        <is>
          <t>63</t>
        </is>
      </c>
      <c r="O550" s="4" t="inlineStr">
        <is>
          <t>https://www.nirfindia.org/Rankings/2025/OverallRanking.html</t>
        </is>
      </c>
      <c r="P550" s="4" t="inlineStr">
        <is>
          <t>NIRF 2025, другие категории: Engineering 28</t>
        </is>
      </c>
    </row>
    <row r="551">
      <c r="A551" s="3" t="inlineStr">
        <is>
          <t>India|Netaji Subhas University of Technology (NSUT)</t>
        </is>
      </c>
      <c r="B551" s="3" t="inlineStr">
        <is>
          <t>India</t>
        </is>
      </c>
      <c r="C551" s="3" t="inlineStr">
        <is>
          <t>Нью-Дели</t>
        </is>
      </c>
      <c r="D551" s="3" t="inlineStr">
        <is>
          <t>Netaji Subhas University of Technology (NSUT)</t>
        </is>
      </c>
      <c r="E551" s="3" t="inlineStr">
        <is>
          <t>नेताजी सुभाष प्रौद्योगिकी विश्वविद्यालय</t>
        </is>
      </c>
      <c r="F551" s="3" t="inlineStr">
        <is>
          <t>https://www.nsut.ac.in</t>
        </is>
      </c>
      <c r="G551" s="3" t="inlineStr"/>
      <c r="H551" s="3" t="inlineStr">
        <is>
          <t>THE2027: 1601–1800</t>
        </is>
      </c>
      <c r="I551" s="3" t="inlineStr">
        <is>
          <t>NIRF2025 Engineering: 70</t>
        </is>
      </c>
      <c r="J551" s="4" t="inlineStr">
        <is>
          <t>не в рейтинге</t>
        </is>
      </c>
      <c r="K551" s="4" t="inlineStr">
        <is>
          <t>1601–1800</t>
        </is>
      </c>
      <c r="L551" s="4" t="inlineStr">
        <is>
          <t>нет в опубл. списке (опубликован только топ-15 страны)</t>
        </is>
      </c>
      <c r="M551" s="4" t="inlineStr">
        <is>
          <t>NIRF 2025 (Overall)</t>
        </is>
      </c>
      <c r="N551" s="4" t="inlineStr">
        <is>
          <t>101–150</t>
        </is>
      </c>
      <c r="O551" s="4" t="inlineStr">
        <is>
          <t>https://www.timeshighereducation.com/world-university-rankings/2027/world-ranking
https://www.nirfindia.org/Rankings/2025/OverallRanking150.html</t>
        </is>
      </c>
      <c r="P551" s="4" t="inlineStr">
        <is>
          <t>NIRF 2025, другие категории: University 101–150, Engineering 70</t>
        </is>
      </c>
    </row>
    <row r="552">
      <c r="A552" s="3" t="inlineStr">
        <is>
          <t>India|Nitte Meenakshi Institute of Technology (NMIT)</t>
        </is>
      </c>
      <c r="B552" s="3" t="inlineStr">
        <is>
          <t>India</t>
        </is>
      </c>
      <c r="C552" s="3" t="inlineStr">
        <is>
          <t>Бангалор</t>
        </is>
      </c>
      <c r="D552" s="3" t="inlineStr">
        <is>
          <t>Nitte Meenakshi Institute of Technology (NMIT)</t>
        </is>
      </c>
      <c r="E552" s="3" t="inlineStr">
        <is>
          <t>ನಿಟ್ಟೆ ಮೀನಾಕ್ಷಿ ತಾಂತ್ರಿಕ ಸಂಸ್ಥೆ</t>
        </is>
      </c>
      <c r="F552" s="3" t="inlineStr">
        <is>
          <t>https://www.nmit.ac.in</t>
        </is>
      </c>
      <c r="G552" s="3" t="inlineStr"/>
      <c r="H552" s="3" t="inlineStr"/>
      <c r="I552" s="3" t="inlineStr"/>
      <c r="J552" s="4" t="inlineStr">
        <is>
          <t>не в рейтинге</t>
        </is>
      </c>
      <c r="K552" s="4" t="inlineStr">
        <is>
          <t>не в рейтинге</t>
        </is>
      </c>
      <c r="L552" s="4" t="inlineStr">
        <is>
          <t>нет в опубл. списке (опубликован только топ-15 страны)</t>
        </is>
      </c>
      <c r="M552" s="4" t="inlineStr">
        <is>
          <t>NIRF 2025 (Engineering)</t>
        </is>
      </c>
      <c r="N552" s="4" t="inlineStr">
        <is>
          <t>101–150</t>
        </is>
      </c>
      <c r="O552" s="4" t="inlineStr">
        <is>
          <t>https://www.nirfindia.org/Rankings/2025/EngineeringRanking150.html</t>
        </is>
      </c>
      <c r="P552" s="4" t="n"/>
    </row>
    <row r="553">
      <c r="A553" s="3" t="inlineStr">
        <is>
          <t>India|Noorul Islam Centre for Higher Education</t>
        </is>
      </c>
      <c r="B553" s="3" t="inlineStr">
        <is>
          <t>India</t>
        </is>
      </c>
      <c r="C553" s="3" t="inlineStr">
        <is>
          <t>Кумаракойл (округ Каньякумари)</t>
        </is>
      </c>
      <c r="D553" s="3" t="inlineStr">
        <is>
          <t>Noorul Islam Centre for Higher Education</t>
        </is>
      </c>
      <c r="E553" s="3" t="inlineStr"/>
      <c r="F553" s="3" t="inlineStr">
        <is>
          <t>https://www.niuniv.com</t>
        </is>
      </c>
      <c r="G553" s="3" t="inlineStr"/>
      <c r="H553" s="3" t="inlineStr"/>
      <c r="I553" s="3" t="inlineStr"/>
      <c r="J553" s="4" t="inlineStr">
        <is>
          <t>не в рейтинге</t>
        </is>
      </c>
      <c r="K553" s="4" t="inlineStr">
        <is>
          <t>не в рейтинге</t>
        </is>
      </c>
      <c r="L553" s="4" t="inlineStr">
        <is>
          <t>нет в опубл. списке (опубликован только топ-15 страны)</t>
        </is>
      </c>
      <c r="M553" s="4" t="inlineStr">
        <is>
          <t>NIRF 2025</t>
        </is>
      </c>
      <c r="N553" s="4" t="inlineStr">
        <is>
          <t>не в рейтинге</t>
        </is>
      </c>
      <c r="O553" s="4" t="inlineStr">
        <is>
          <t>https://www.nirfindia.org/Rankings/2025/Ranking.html</t>
        </is>
      </c>
      <c r="P553" s="4" t="n"/>
    </row>
    <row r="554">
      <c r="A554" s="3" t="inlineStr">
        <is>
          <t>India|Osmania University</t>
        </is>
      </c>
      <c r="B554" s="3" t="inlineStr">
        <is>
          <t>India</t>
        </is>
      </c>
      <c r="C554" s="3" t="inlineStr">
        <is>
          <t>Хайдарабад</t>
        </is>
      </c>
      <c r="D554" s="3" t="inlineStr">
        <is>
          <t>Osmania University</t>
        </is>
      </c>
      <c r="E554" s="3" t="inlineStr"/>
      <c r="F554" s="3" t="inlineStr">
        <is>
          <t>https://www.osmania.ac.in</t>
        </is>
      </c>
      <c r="G554" s="3" t="inlineStr"/>
      <c r="H554" s="3" t="inlineStr">
        <is>
          <t>THE2027: 1601–1800</t>
        </is>
      </c>
      <c r="I554" s="3" t="inlineStr">
        <is>
          <t>NIRF2025 University: 30</t>
        </is>
      </c>
      <c r="J554" s="4" t="inlineStr">
        <is>
          <t>не в рейтинге</t>
        </is>
      </c>
      <c r="K554" s="4" t="inlineStr">
        <is>
          <t>1601–1800</t>
        </is>
      </c>
      <c r="L554" s="4" t="inlineStr">
        <is>
          <t>нет в опубл. списке (опубликован только топ-15 страны)</t>
        </is>
      </c>
      <c r="M554" s="4" t="inlineStr">
        <is>
          <t>NIRF 2025 (Overall)</t>
        </is>
      </c>
      <c r="N554" s="4" t="inlineStr">
        <is>
          <t>53</t>
        </is>
      </c>
      <c r="O554" s="4" t="inlineStr">
        <is>
          <t>https://www.timeshighereducation.com/world-university-rankings/2027/world-ranking
https://www.nirfindia.org/Rankings/2025/OverallRanking.html</t>
        </is>
      </c>
      <c r="P554" s="4" t="inlineStr">
        <is>
          <t>NIRF 2025, другие категории: University 30</t>
        </is>
      </c>
    </row>
    <row r="555">
      <c r="A555" s="3" t="inlineStr">
        <is>
          <t>India|PES University</t>
        </is>
      </c>
      <c r="B555" s="3" t="inlineStr">
        <is>
          <t>India</t>
        </is>
      </c>
      <c r="C555" s="3" t="inlineStr">
        <is>
          <t>Бангалор</t>
        </is>
      </c>
      <c r="D555" s="3" t="inlineStr">
        <is>
          <t>PES University</t>
        </is>
      </c>
      <c r="E555" s="3" t="inlineStr">
        <is>
          <t>PES University</t>
        </is>
      </c>
      <c r="F555" s="3" t="inlineStr">
        <is>
          <t>https://pes.edu</t>
        </is>
      </c>
      <c r="G555" s="3" t="inlineStr"/>
      <c r="H555" s="3" t="inlineStr"/>
      <c r="I555" s="3" t="inlineStr"/>
      <c r="J555" s="4" t="inlineStr">
        <is>
          <t>не в рейтинге</t>
        </is>
      </c>
      <c r="K555" s="4" t="inlineStr">
        <is>
          <t>не в рейтинге</t>
        </is>
      </c>
      <c r="L555" s="4" t="inlineStr">
        <is>
          <t>нет в опубл. списке (опубликован только топ-15 страны)</t>
        </is>
      </c>
      <c r="M555" s="4" t="inlineStr">
        <is>
          <t>NIRF 2025 (University)</t>
        </is>
      </c>
      <c r="N555" s="4" t="inlineStr">
        <is>
          <t>151–200</t>
        </is>
      </c>
      <c r="O555" s="4" t="inlineStr">
        <is>
          <t>https://www.nirfindia.org/Rankings/2025/UniversityRanking200.html</t>
        </is>
      </c>
      <c r="P555" s="4" t="inlineStr">
        <is>
          <t>NIRF 2025, другие категории: Engineering 101–150</t>
        </is>
      </c>
    </row>
    <row r="556">
      <c r="A556" s="3" t="inlineStr">
        <is>
          <t>India|PSG College of Technology</t>
        </is>
      </c>
      <c r="B556" s="3" t="inlineStr">
        <is>
          <t>India</t>
        </is>
      </c>
      <c r="C556" s="3" t="inlineStr">
        <is>
          <t>Коимбатур</t>
        </is>
      </c>
      <c r="D556" s="3" t="inlineStr">
        <is>
          <t>PSG College of Technology</t>
        </is>
      </c>
      <c r="E556" s="3" t="inlineStr"/>
      <c r="F556" s="3" t="inlineStr">
        <is>
          <t>https://www.psgtech.edu</t>
        </is>
      </c>
      <c r="G556" s="3" t="inlineStr"/>
      <c r="H556" s="3" t="inlineStr">
        <is>
          <t>THE2027: 1801–2000</t>
        </is>
      </c>
      <c r="I556" s="3" t="inlineStr">
        <is>
          <t>NIRF2025 Engineering: 67</t>
        </is>
      </c>
      <c r="J556" s="4" t="inlineStr">
        <is>
          <t>не в рейтинге</t>
        </is>
      </c>
      <c r="K556" s="4" t="inlineStr">
        <is>
          <t>1801–2000</t>
        </is>
      </c>
      <c r="L556" s="4" t="inlineStr">
        <is>
          <t>нет в опубл. списке (опубликован только топ-15 страны)</t>
        </is>
      </c>
      <c r="M556" s="4" t="inlineStr">
        <is>
          <t>NIRF 2025 (Overall)</t>
        </is>
      </c>
      <c r="N556" s="4" t="inlineStr">
        <is>
          <t>101–150</t>
        </is>
      </c>
      <c r="O556" s="4" t="inlineStr">
        <is>
          <t>https://www.timeshighereducation.com/world-university-rankings/2027/world-ranking
https://www.nirfindia.org/Rankings/2025/OverallRanking150.html</t>
        </is>
      </c>
      <c r="P556" s="4" t="inlineStr">
        <is>
          <t>NIRF 2025, другие категории: Engineering 67, Management 84</t>
        </is>
      </c>
    </row>
    <row r="557">
      <c r="A557" s="3" t="inlineStr">
        <is>
          <t>India|Pandit Deendayal Energy University (PDEU)</t>
        </is>
      </c>
      <c r="B557" s="3" t="inlineStr">
        <is>
          <t>India</t>
        </is>
      </c>
      <c r="C557" s="3" t="inlineStr">
        <is>
          <t>Гандинагар</t>
        </is>
      </c>
      <c r="D557" s="3" t="inlineStr">
        <is>
          <t>Pandit Deendayal Energy University (PDEU)</t>
        </is>
      </c>
      <c r="E557" s="3" t="inlineStr">
        <is>
          <t>પંડિત દીનદયાળ ઊર્જા યુનિવર્સિટી</t>
        </is>
      </c>
      <c r="F557" s="3" t="inlineStr">
        <is>
          <t>https://pdeu.ac.in</t>
        </is>
      </c>
      <c r="G557" s="3" t="inlineStr"/>
      <c r="H557" s="3" t="inlineStr"/>
      <c r="I557" s="3" t="inlineStr">
        <is>
          <t>NIRF2025 Engineering: 98</t>
        </is>
      </c>
      <c r="J557" s="4" t="inlineStr">
        <is>
          <t>не в рейтинге</t>
        </is>
      </c>
      <c r="K557" s="4" t="inlineStr">
        <is>
          <t>не в рейтинге</t>
        </is>
      </c>
      <c r="L557" s="4" t="inlineStr">
        <is>
          <t>нет в опубл. списке (опубликован только топ-15 страны)</t>
        </is>
      </c>
      <c r="M557" s="4" t="inlineStr">
        <is>
          <t>NIRF 2025 (University)</t>
        </is>
      </c>
      <c r="N557" s="4" t="inlineStr">
        <is>
          <t>151–200</t>
        </is>
      </c>
      <c r="O557" s="4" t="inlineStr">
        <is>
          <t>https://www.nirfindia.org/Rankings/2025/UniversityRanking200.html</t>
        </is>
      </c>
      <c r="P557" s="4" t="inlineStr">
        <is>
          <t>NIRF 2025, другие категории: Engineering 98, Management 89</t>
        </is>
      </c>
    </row>
    <row r="558">
      <c r="A558" s="3" t="inlineStr">
        <is>
          <t>India|Panjab University</t>
        </is>
      </c>
      <c r="B558" s="3" t="inlineStr">
        <is>
          <t>India</t>
        </is>
      </c>
      <c r="C558" s="3" t="inlineStr">
        <is>
          <t>Чандигарх</t>
        </is>
      </c>
      <c r="D558" s="3" t="inlineStr">
        <is>
          <t>Panjab University</t>
        </is>
      </c>
      <c r="E558" s="3" t="inlineStr">
        <is>
          <t>ਪੰਜਾਬ ਯੂਨੀਵਰਸਿਟੀ / पंजाब विश्वविद्यालय</t>
        </is>
      </c>
      <c r="F558" s="3" t="inlineStr">
        <is>
          <t>https://puchd.ac.in</t>
        </is>
      </c>
      <c r="G558" s="3" t="inlineStr">
        <is>
          <t>QS2027: 1001–1200</t>
        </is>
      </c>
      <c r="H558" s="3" t="inlineStr">
        <is>
          <t>THE2027: 701–800</t>
        </is>
      </c>
      <c r="I558" s="3" t="inlineStr">
        <is>
          <t>NIRF2025 University: 35</t>
        </is>
      </c>
      <c r="J558" s="4" t="inlineStr">
        <is>
          <t>1001–1200</t>
        </is>
      </c>
      <c r="K558" s="4" t="inlineStr">
        <is>
          <t>701–800</t>
        </is>
      </c>
      <c r="L558" s="4" t="inlineStr">
        <is>
          <t>нет в опубл. списке (опубликован только топ-15 страны)</t>
        </is>
      </c>
      <c r="M558" s="4" t="inlineStr">
        <is>
          <t>NIRF 2025 (Overall)</t>
        </is>
      </c>
      <c r="N558" s="4" t="inlineStr">
        <is>
          <t>57</t>
        </is>
      </c>
      <c r="O558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58" s="4" t="inlineStr">
        <is>
          <t>QS: в таблице как «Panjab University, Chandigarh»; NIRF 2025, другие категории: University 35, Engineering 93, Research 37, Management 92, Pharmacy 3</t>
        </is>
      </c>
    </row>
    <row r="559">
      <c r="A559" s="3" t="inlineStr">
        <is>
          <t>India|Periyar University</t>
        </is>
      </c>
      <c r="B559" s="3" t="inlineStr">
        <is>
          <t>India</t>
        </is>
      </c>
      <c r="C559" s="3" t="inlineStr">
        <is>
          <t>Салем</t>
        </is>
      </c>
      <c r="D559" s="3" t="inlineStr">
        <is>
          <t>Periyar University</t>
        </is>
      </c>
      <c r="E559" s="3" t="inlineStr"/>
      <c r="F559" s="3" t="inlineStr">
        <is>
          <t>https://www.periyaruniversity.ac.in</t>
        </is>
      </c>
      <c r="G559" s="3" t="inlineStr"/>
      <c r="H559" s="3" t="inlineStr"/>
      <c r="I559" s="3" t="inlineStr">
        <is>
          <t>NIRF2025 University: 94</t>
        </is>
      </c>
      <c r="J559" s="4" t="inlineStr">
        <is>
          <t>не в рейтинге</t>
        </is>
      </c>
      <c r="K559" s="4" t="inlineStr">
        <is>
          <t>не в рейтинге</t>
        </is>
      </c>
      <c r="L559" s="4" t="inlineStr">
        <is>
          <t>нет в опубл. списке (опубликован только топ-15 страны)</t>
        </is>
      </c>
      <c r="M559" s="4" t="inlineStr">
        <is>
          <t>NIRF 2025 (Overall)</t>
        </is>
      </c>
      <c r="N559" s="4" t="inlineStr">
        <is>
          <t>151–200</t>
        </is>
      </c>
      <c r="O559" s="4" t="inlineStr">
        <is>
          <t>https://www.nirfindia.org/Rankings/2025/OverallRanking200.html</t>
        </is>
      </c>
      <c r="P559" s="4" t="inlineStr">
        <is>
          <t>NIRF 2025, другие категории: University 94</t>
        </is>
      </c>
    </row>
    <row r="560">
      <c r="A560" s="3" t="inlineStr">
        <is>
          <t>India|Physical Research Laboratory</t>
        </is>
      </c>
      <c r="B560" s="3" t="inlineStr">
        <is>
          <t>India</t>
        </is>
      </c>
      <c r="C560" s="3" t="inlineStr">
        <is>
          <t>Ахмедабад</t>
        </is>
      </c>
      <c r="D560" s="3" t="inlineStr">
        <is>
          <t>Physical Research Laboratory</t>
        </is>
      </c>
      <c r="E560" s="3" t="inlineStr">
        <is>
          <t>भौतिक अनुसंधान प्रयोगशाला</t>
        </is>
      </c>
      <c r="F560" s="3" t="inlineStr">
        <is>
          <t>https://www.prl.res.in</t>
        </is>
      </c>
      <c r="G560" s="3" t="inlineStr"/>
      <c r="H560" s="3" t="inlineStr"/>
      <c r="I560" s="3" t="inlineStr"/>
      <c r="J560" s="4" t="inlineStr">
        <is>
          <t>не в рейтинге</t>
        </is>
      </c>
      <c r="K560" s="4" t="inlineStr">
        <is>
          <t>не в рейтинге</t>
        </is>
      </c>
      <c r="L560" s="4" t="inlineStr">
        <is>
          <t>нет в опубл. списке (опубликован только топ-15 страны)</t>
        </is>
      </c>
      <c r="M560" s="4" t="inlineStr">
        <is>
          <t>NIRF 2025</t>
        </is>
      </c>
      <c r="N560" s="4" t="inlineStr">
        <is>
          <t>не в рейтинге</t>
        </is>
      </c>
      <c r="O560" s="4" t="inlineStr">
        <is>
          <t>https://www.nirfindia.org/Rankings/2025/Ranking.html</t>
        </is>
      </c>
      <c r="P560" s="4" t="n"/>
    </row>
    <row r="561">
      <c r="A561" s="3" t="inlineStr">
        <is>
          <t>India|Pondicherry University</t>
        </is>
      </c>
      <c r="B561" s="3" t="inlineStr">
        <is>
          <t>India</t>
        </is>
      </c>
      <c r="C561" s="3" t="inlineStr">
        <is>
          <t>Пондичерри</t>
        </is>
      </c>
      <c r="D561" s="3" t="inlineStr">
        <is>
          <t>Pondicherry University</t>
        </is>
      </c>
      <c r="E561" s="3" t="inlineStr">
        <is>
          <t>पुदुच्चेरी विश्वविद्यालय / புதுச்சேரி பல்கலைக்கழகம்</t>
        </is>
      </c>
      <c r="F561" s="3" t="inlineStr">
        <is>
          <t>https://www.pondiuni.edu.in</t>
        </is>
      </c>
      <c r="G561" s="3" t="inlineStr">
        <is>
          <t>QS2027: 791-800</t>
        </is>
      </c>
      <c r="H561" s="3" t="inlineStr">
        <is>
          <t>THE2027: 1201-1400</t>
        </is>
      </c>
      <c r="I561" s="3" t="inlineStr"/>
      <c r="J561" s="4" t="inlineStr">
        <is>
          <t>1401+</t>
        </is>
      </c>
      <c r="K561" s="4" t="inlineStr">
        <is>
          <t>1201–1400</t>
        </is>
      </c>
      <c r="L561" s="4" t="inlineStr">
        <is>
          <t>нет в опубл. списке (опубликован только топ-15 страны)</t>
        </is>
      </c>
      <c r="M561" s="4" t="inlineStr">
        <is>
          <t>NIRF 2025 (Overall)</t>
        </is>
      </c>
      <c r="N561" s="4" t="inlineStr">
        <is>
          <t>151–200</t>
        </is>
      </c>
      <c r="O561" s="4" t="inlineStr">
        <is>
          <t>https://www.topuniversities.com/world-university-rankings (QS WUR 2027)
https://www.timeshighereducation.com/world-university-rankings/2027/world-ranking
https://www.nirfindia.org/Rankings/2025/OverallRanking200.html</t>
        </is>
      </c>
      <c r="P561" s="4" t="inlineStr">
        <is>
          <t>QS: в столбце G было 791-800, в таблице QS 2027 сейчас 1401+; NIRF 2025, другие категории: University 101–150</t>
        </is>
      </c>
    </row>
    <row r="562">
      <c r="A562" s="3" t="inlineStr">
        <is>
          <t>India|Punjab Agricultural University</t>
        </is>
      </c>
      <c r="B562" s="3" t="inlineStr">
        <is>
          <t>India</t>
        </is>
      </c>
      <c r="C562" s="3" t="inlineStr">
        <is>
          <t>Лудхиана</t>
        </is>
      </c>
      <c r="D562" s="3" t="inlineStr">
        <is>
          <t>Punjab Agricultural University</t>
        </is>
      </c>
      <c r="E562" s="3" t="inlineStr"/>
      <c r="F562" s="3" t="inlineStr">
        <is>
          <t>https://www.pau.edu</t>
        </is>
      </c>
      <c r="G562" s="3" t="inlineStr"/>
      <c r="H562" s="3" t="inlineStr"/>
      <c r="I562" s="3" t="inlineStr">
        <is>
          <t>NIRF2025 University: 64</t>
        </is>
      </c>
      <c r="J562" s="4" t="inlineStr">
        <is>
          <t>не в рейтинге</t>
        </is>
      </c>
      <c r="K562" s="4" t="inlineStr">
        <is>
          <t>не в рейтинге</t>
        </is>
      </c>
      <c r="L562" s="4" t="inlineStr">
        <is>
          <t>нет в опубл. списке (опубликован только топ-15 страны)</t>
        </is>
      </c>
      <c r="M562" s="4" t="inlineStr">
        <is>
          <t>NIRF 2025 (Overall)</t>
        </is>
      </c>
      <c r="N562" s="4" t="inlineStr">
        <is>
          <t>81</t>
        </is>
      </c>
      <c r="O562" s="4" t="inlineStr">
        <is>
          <t>https://www.nirfindia.org/Rankings/2025/OverallRanking.html</t>
        </is>
      </c>
      <c r="P562" s="4" t="inlineStr">
        <is>
          <t>NIRF 2025, другие категории: University 64, Agriculture 3</t>
        </is>
      </c>
    </row>
    <row r="563">
      <c r="A563" s="3" t="inlineStr">
        <is>
          <t>India|R V College of Engineering (RVCE)</t>
        </is>
      </c>
      <c r="B563" s="3" t="inlineStr">
        <is>
          <t>India</t>
        </is>
      </c>
      <c r="C563" s="3" t="inlineStr">
        <is>
          <t>Бангалор</t>
        </is>
      </c>
      <c r="D563" s="3" t="inlineStr">
        <is>
          <t>R V College of Engineering (RVCE)</t>
        </is>
      </c>
      <c r="E563" s="3" t="inlineStr"/>
      <c r="F563" s="3" t="inlineStr">
        <is>
          <t>https://rvce.edu.in</t>
        </is>
      </c>
      <c r="G563" s="3" t="inlineStr"/>
      <c r="H563" s="3" t="inlineStr">
        <is>
          <t>THE2027: 1801–2000</t>
        </is>
      </c>
      <c r="I563" s="3" t="inlineStr"/>
      <c r="J563" s="4" t="inlineStr">
        <is>
          <t>не в рейтинге</t>
        </is>
      </c>
      <c r="K563" s="4" t="inlineStr">
        <is>
          <t>1801–2000</t>
        </is>
      </c>
      <c r="L563" s="4" t="inlineStr">
        <is>
          <t>нет в опубл. списке (опубликован только топ-15 страны)</t>
        </is>
      </c>
      <c r="M563" s="4" t="inlineStr">
        <is>
          <t>NIRF 2025 (Engineering)</t>
        </is>
      </c>
      <c r="N563" s="4" t="inlineStr">
        <is>
          <t>101–150</t>
        </is>
      </c>
      <c r="O563" s="4" t="inlineStr">
        <is>
          <t>https://www.timeshighereducation.com/world-university-rankings/2027/world-ranking
https://www.nirfindia.org/Rankings/2025/EngineeringRanking150.html</t>
        </is>
      </c>
      <c r="P563" s="4" t="n"/>
    </row>
    <row r="564">
      <c r="A564" s="3" t="inlineStr">
        <is>
          <t>India|Rajiv Gandhi Institute of Petroleum Technology</t>
        </is>
      </c>
      <c r="B564" s="3" t="inlineStr">
        <is>
          <t>India</t>
        </is>
      </c>
      <c r="C564" s="3" t="inlineStr">
        <is>
          <t>Амети (Джайс)</t>
        </is>
      </c>
      <c r="D564" s="3" t="inlineStr">
        <is>
          <t>Rajiv Gandhi Institute of Petroleum Technology</t>
        </is>
      </c>
      <c r="E564" s="3" t="inlineStr">
        <is>
          <t>राजीव गांधी पेट्रोलियम प्रौद्योगिकी संस्थान</t>
        </is>
      </c>
      <c r="F564" s="3" t="inlineStr">
        <is>
          <t>https://www.rgipt.ac.in</t>
        </is>
      </c>
      <c r="G564" s="3" t="inlineStr"/>
      <c r="H564" s="3" t="inlineStr"/>
      <c r="I564" s="3" t="inlineStr">
        <is>
          <t>NIRF2025 Engineering: 78</t>
        </is>
      </c>
      <c r="J564" s="4" t="inlineStr">
        <is>
          <t>не в рейтинге</t>
        </is>
      </c>
      <c r="K564" s="4" t="inlineStr">
        <is>
          <t>не в рейтинге</t>
        </is>
      </c>
      <c r="L564" s="4" t="inlineStr">
        <is>
          <t>нет в опубл. списке (опубликован только топ-15 страны)</t>
        </is>
      </c>
      <c r="M564" s="4" t="inlineStr">
        <is>
          <t>NIRF 2025 (Engineering)</t>
        </is>
      </c>
      <c r="N564" s="4" t="inlineStr">
        <is>
          <t>78</t>
        </is>
      </c>
      <c r="O564" s="4" t="inlineStr">
        <is>
          <t>https://www.nirfindia.org/Rankings/2025/EngineeringRanking.html</t>
        </is>
      </c>
      <c r="P564" s="4" t="n"/>
    </row>
    <row r="565">
      <c r="A565" s="3" t="inlineStr">
        <is>
          <t>India|SR University</t>
        </is>
      </c>
      <c r="B565" s="3" t="inlineStr">
        <is>
          <t>India</t>
        </is>
      </c>
      <c r="C565" s="3" t="inlineStr">
        <is>
          <t>Варангал</t>
        </is>
      </c>
      <c r="D565" s="3" t="inlineStr">
        <is>
          <t>SR University</t>
        </is>
      </c>
      <c r="E565" s="3" t="inlineStr">
        <is>
          <t>SR University (SRU)</t>
        </is>
      </c>
      <c r="F565" s="3" t="inlineStr">
        <is>
          <t>https://sru.edu.in</t>
        </is>
      </c>
      <c r="G565" s="3" t="inlineStr"/>
      <c r="H565" s="3" t="inlineStr">
        <is>
          <t>THE2027: 801-1000</t>
        </is>
      </c>
      <c r="I565" s="3" t="inlineStr">
        <is>
          <t>NIRF2025 Engineering: 91</t>
        </is>
      </c>
      <c r="J565" s="4" t="inlineStr">
        <is>
          <t>не в рейтинге</t>
        </is>
      </c>
      <c r="K565" s="4" t="inlineStr">
        <is>
          <t>801–1000</t>
        </is>
      </c>
      <c r="L565" s="4" t="inlineStr">
        <is>
          <t>нет в опубл. списке (опубликован только топ-15 страны)</t>
        </is>
      </c>
      <c r="M565" s="4" t="inlineStr">
        <is>
          <t>NIRF 2025 (Overall)</t>
        </is>
      </c>
      <c r="N565" s="4" t="inlineStr">
        <is>
          <t>151–200</t>
        </is>
      </c>
      <c r="O565" s="4" t="inlineStr">
        <is>
          <t>https://www.timeshighereducation.com/world-university-rankings/2027/world-ranking
https://www.nirfindia.org/Rankings/2025/OverallRanking200.html</t>
        </is>
      </c>
      <c r="P565" s="4" t="inlineStr">
        <is>
          <t>NIRF 2025, другие категории: University 101–150, Engineering 91</t>
        </is>
      </c>
    </row>
    <row r="566">
      <c r="A566" s="3" t="inlineStr">
        <is>
          <t>India|SRM Institute of Science and Technology</t>
        </is>
      </c>
      <c r="B566" s="3" t="inlineStr">
        <is>
          <t>India</t>
        </is>
      </c>
      <c r="C566" s="3" t="inlineStr">
        <is>
          <t>Ченнаи</t>
        </is>
      </c>
      <c r="D566" s="3" t="inlineStr">
        <is>
          <t>SRM Institute of Science and Technology</t>
        </is>
      </c>
      <c r="E566" s="3" t="inlineStr">
        <is>
          <t>SRM Institute of Science and Technology (SRMIST)</t>
        </is>
      </c>
      <c r="F566" s="3" t="inlineStr">
        <is>
          <t>https://www.srmist.edu.in</t>
        </is>
      </c>
      <c r="G566" s="3" t="inlineStr">
        <is>
          <t>QS2027: 651-660</t>
        </is>
      </c>
      <c r="H566" s="3" t="inlineStr">
        <is>
          <t>THE2027: 1001-1200</t>
        </is>
      </c>
      <c r="I566" s="3" t="inlineStr">
        <is>
          <t>NIRF2025 University: 11</t>
        </is>
      </c>
      <c r="J566" s="4" t="inlineStr">
        <is>
          <t>1001–1200</t>
        </is>
      </c>
      <c r="K566" s="4" t="inlineStr">
        <is>
          <t>1001–1200</t>
        </is>
      </c>
      <c r="L566" s="4" t="inlineStr">
        <is>
          <t>736</t>
        </is>
      </c>
      <c r="M566" s="4" t="inlineStr">
        <is>
          <t>NIRF 2025 (Overall)</t>
        </is>
      </c>
      <c r="N566" s="4" t="inlineStr">
        <is>
          <t>22</t>
        </is>
      </c>
      <c r="O56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P566" s="4" t="inlineStr">
        <is>
          <t>QS: в столбце G было 651-660, в таблице QS 2027 сейчас 1001-1200; NIRF 2025, другие категории: University 11, Engineering 14, Research 25, Medical 18, Management 56, Pharmacy 10, Law 25, Architecture 18, Agriculture 33</t>
        </is>
      </c>
    </row>
    <row r="567">
      <c r="A567" s="3" t="inlineStr">
        <is>
          <t>India|SVKM`s Narsee Monjee Institute of Management Studies</t>
        </is>
      </c>
      <c r="B567" s="3" t="inlineStr">
        <is>
          <t>India</t>
        </is>
      </c>
      <c r="C567" s="3" t="inlineStr">
        <is>
          <t>Мумбаи</t>
        </is>
      </c>
      <c r="D567" s="3" t="inlineStr">
        <is>
          <t>SVKM`s Narsee Monjee Institute of Management Studies</t>
        </is>
      </c>
      <c r="E567" s="3" t="inlineStr">
        <is>
          <t>SVKM's NMIMS (Deemed to be University)</t>
        </is>
      </c>
      <c r="F567" s="3" t="inlineStr">
        <is>
          <t>https://www.nmims.edu</t>
        </is>
      </c>
      <c r="G567" s="3" t="inlineStr"/>
      <c r="H567" s="3" t="inlineStr"/>
      <c r="I567" s="3" t="inlineStr">
        <is>
          <t>NIRF2025 University: 52</t>
        </is>
      </c>
      <c r="J567" s="4" t="inlineStr">
        <is>
          <t>не в рейтинге</t>
        </is>
      </c>
      <c r="K567" s="4" t="inlineStr">
        <is>
          <t>не в рейтинге</t>
        </is>
      </c>
      <c r="L567" s="4" t="inlineStr">
        <is>
          <t>нет в опубл. списке (опубликован только топ-15 страны)</t>
        </is>
      </c>
      <c r="M567" s="4" t="inlineStr">
        <is>
          <t>NIRF 2025 (Overall)</t>
        </is>
      </c>
      <c r="N567" s="4" t="inlineStr">
        <is>
          <t>95</t>
        </is>
      </c>
      <c r="O567" s="4" t="inlineStr">
        <is>
          <t>https://www.nirfindia.org/Rankings/2025/OverallRanking.html</t>
        </is>
      </c>
      <c r="P567" s="4" t="inlineStr">
        <is>
          <t>NIRF 2025, другие категории: University 52, Engineering 101–150, Management 24, Pharmacy 11</t>
        </is>
      </c>
    </row>
    <row r="568">
      <c r="A568" s="3" t="inlineStr">
        <is>
          <t>India|Sant Longowal Institute of Engineering &amp; Technology</t>
        </is>
      </c>
      <c r="B568" s="3" t="inlineStr">
        <is>
          <t>India</t>
        </is>
      </c>
      <c r="C568" s="3" t="inlineStr">
        <is>
          <t>Лонговал (округ Сангрур)</t>
        </is>
      </c>
      <c r="D568" s="3" t="inlineStr">
        <is>
          <t>Sant Longowal Institute of Engineering &amp; Technology</t>
        </is>
      </c>
      <c r="E568" s="3" t="inlineStr">
        <is>
          <t>संत लोंगोवाल अभियांत्रिकी एवं प्रौद्योगिकी संस्थान</t>
        </is>
      </c>
      <c r="F568" s="3" t="inlineStr">
        <is>
          <t>https://sliet.ac.in</t>
        </is>
      </c>
      <c r="G568" s="3" t="inlineStr"/>
      <c r="H568" s="3" t="inlineStr"/>
      <c r="I568" s="3" t="inlineStr">
        <is>
          <t>NIRF2025 Engineering: 79</t>
        </is>
      </c>
      <c r="J568" s="4" t="inlineStr">
        <is>
          <t>не в рейтинге</t>
        </is>
      </c>
      <c r="K568" s="4" t="inlineStr">
        <is>
          <t>не в рейтинге</t>
        </is>
      </c>
      <c r="L568" s="4" t="inlineStr">
        <is>
          <t>нет в опубл. списке (опубликован только топ-15 страны)</t>
        </is>
      </c>
      <c r="M568" s="4" t="inlineStr">
        <is>
          <t>NIRF 2025 (Overall)</t>
        </is>
      </c>
      <c r="N568" s="4" t="inlineStr">
        <is>
          <t>101–150</t>
        </is>
      </c>
      <c r="O568" s="4" t="inlineStr">
        <is>
          <t>https://www.nirfindia.org/Rankings/2025/OverallRanking150.html</t>
        </is>
      </c>
      <c r="P568" s="4" t="inlineStr">
        <is>
          <t>NIRF 2025, другие категории: University 90, Engineering 79</t>
        </is>
      </c>
    </row>
    <row r="569">
      <c r="A569" s="3" t="inlineStr">
        <is>
          <t>India|Sardar Vallabhbhai National Institute of Technology, Surat</t>
        </is>
      </c>
      <c r="B569" s="3" t="inlineStr">
        <is>
          <t>India</t>
        </is>
      </c>
      <c r="C569" s="3" t="inlineStr">
        <is>
          <t>Сурат</t>
        </is>
      </c>
      <c r="D569" s="3" t="inlineStr">
        <is>
          <t>Sardar Vallabhbhai National Institute of Technology, Surat</t>
        </is>
      </c>
      <c r="E569" s="3" t="inlineStr"/>
      <c r="F569" s="3" t="inlineStr">
        <is>
          <t>https://www.svnit.ac.in</t>
        </is>
      </c>
      <c r="G569" s="3" t="inlineStr"/>
      <c r="H569" s="3" t="inlineStr"/>
      <c r="I569" s="3" t="inlineStr">
        <is>
          <t>NIRF2025 Engineering: 66</t>
        </is>
      </c>
      <c r="J569" s="4" t="inlineStr">
        <is>
          <t>не в рейтинге</t>
        </is>
      </c>
      <c r="K569" s="4" t="inlineStr">
        <is>
          <t>не в рейтинге</t>
        </is>
      </c>
      <c r="L569" s="4" t="inlineStr">
        <is>
          <t>нет в опубл. списке (опубликован только топ-15 страны)</t>
        </is>
      </c>
      <c r="M569" s="4" t="inlineStr">
        <is>
          <t>NIRF 2025 (Engineering)</t>
        </is>
      </c>
      <c r="N569" s="4" t="inlineStr">
        <is>
          <t>66</t>
        </is>
      </c>
      <c r="O569" s="4" t="inlineStr">
        <is>
          <t>https://www.nirfindia.org/Rankings/2025/EngineeringRanking.html</t>
        </is>
      </c>
      <c r="P569" s="4" t="n"/>
    </row>
    <row r="570">
      <c r="A570" s="3" t="inlineStr">
        <is>
          <t>India|Sathyabama Institute of Science and Technology</t>
        </is>
      </c>
      <c r="B570" s="3" t="inlineStr">
        <is>
          <t>India</t>
        </is>
      </c>
      <c r="C570" s="3" t="inlineStr">
        <is>
          <t>Ченнаи</t>
        </is>
      </c>
      <c r="D570" s="3" t="inlineStr">
        <is>
          <t>Sathyabama Institute of Science and Technology</t>
        </is>
      </c>
      <c r="E570" s="3" t="inlineStr">
        <is>
          <t>சத்யபாமா அறிவியல் மற்றும் தொழில்நுட்பக் கழகம்</t>
        </is>
      </c>
      <c r="F570" s="3" t="inlineStr">
        <is>
          <t>https://www.sathyabama.ac.in</t>
        </is>
      </c>
      <c r="G570" s="3" t="inlineStr">
        <is>
          <t>QS2027: 1201-1400</t>
        </is>
      </c>
      <c r="H570" s="3" t="inlineStr">
        <is>
          <t>THE2027: 1201–1400</t>
        </is>
      </c>
      <c r="I570" s="3" t="inlineStr">
        <is>
          <t>NIRF2025 University: 53</t>
        </is>
      </c>
      <c r="J570" s="4" t="inlineStr">
        <is>
          <t>1201–1400</t>
        </is>
      </c>
      <c r="K570" s="4" t="inlineStr">
        <is>
          <t>1201–1400</t>
        </is>
      </c>
      <c r="L570" s="4" t="inlineStr">
        <is>
          <t>нет в опубл. списке (опубликован только топ-15 страны)</t>
        </is>
      </c>
      <c r="M570" s="4" t="inlineStr">
        <is>
          <t>NIRF 2025 (Overall)</t>
        </is>
      </c>
      <c r="N570" s="4" t="inlineStr">
        <is>
          <t>93</t>
        </is>
      </c>
      <c r="O570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70" s="4" t="inlineStr">
        <is>
          <t>NIRF 2025, другие категории: University 53, Engineering 67</t>
        </is>
      </c>
    </row>
    <row r="571">
      <c r="A571" s="3" t="inlineStr">
        <is>
          <t>India|Saveetha Institute of Medical and Technical Sciences</t>
        </is>
      </c>
      <c r="B571" s="3" t="inlineStr">
        <is>
          <t>India</t>
        </is>
      </c>
      <c r="C571" s="3" t="inlineStr">
        <is>
          <t>Ченнаи (Тандалам)</t>
        </is>
      </c>
      <c r="D571" s="3" t="inlineStr">
        <is>
          <t>Saveetha Institute of Medical and Technical Sciences</t>
        </is>
      </c>
      <c r="E571" s="3" t="inlineStr">
        <is>
          <t>Saveetha Institute of Medical and Technical Sciences (SIMATS), சவீதா மருத்துவ மற்றும் தொழில்நுட்ப அறிவியல் நிறுவனம்</t>
        </is>
      </c>
      <c r="F571" s="3" t="inlineStr">
        <is>
          <t>https://www.saveetha.com</t>
        </is>
      </c>
      <c r="G571" s="3" t="inlineStr">
        <is>
          <t>QS2027: 801-850</t>
        </is>
      </c>
      <c r="H571" s="3" t="inlineStr">
        <is>
          <t>THE2027: 326-350</t>
        </is>
      </c>
      <c r="I571" s="3" t="inlineStr">
        <is>
          <t>NIRF2025 University: 13</t>
        </is>
      </c>
      <c r="J571" s="4" t="inlineStr">
        <is>
          <t>801–850</t>
        </is>
      </c>
      <c r="K571" s="4" t="inlineStr">
        <is>
          <t>326–350</t>
        </is>
      </c>
      <c r="L571" s="4" t="inlineStr">
        <is>
          <t>нет в опубл. списке (опубликован только топ-15 страны)</t>
        </is>
      </c>
      <c r="M571" s="4" t="inlineStr">
        <is>
          <t>NIRF 2025 (Overall)</t>
        </is>
      </c>
      <c r="N571" s="4" t="inlineStr">
        <is>
          <t>23</t>
        </is>
      </c>
      <c r="O571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71" s="4" t="inlineStr">
        <is>
          <t>QS: в таблице как «Saveetha Institute of Medical And Technical Sciences (SIMATS) , Tamil Nadu,India»; NIRF 2025, другие категории: University 13, Engineering 45, Research 13, Medical 11, Management 63, Law 19</t>
        </is>
      </c>
    </row>
    <row r="572">
      <c r="A572" s="3" t="inlineStr">
        <is>
          <t>India|Savitribai Phule Pune University</t>
        </is>
      </c>
      <c r="B572" s="3" t="inlineStr">
        <is>
          <t>India</t>
        </is>
      </c>
      <c r="C572" s="3" t="inlineStr">
        <is>
          <t>Пуна</t>
        </is>
      </c>
      <c r="D572" s="3" t="inlineStr">
        <is>
          <t>Savitribai Phule Pune University</t>
        </is>
      </c>
      <c r="E572" s="3" t="inlineStr">
        <is>
          <t>सावित्रीबाई फुले पुणे विद्यापीठ</t>
        </is>
      </c>
      <c r="F572" s="3" t="inlineStr">
        <is>
          <t>https://www.unipune.ac.in</t>
        </is>
      </c>
      <c r="G572" s="3" t="inlineStr">
        <is>
          <t>QS2027: 791–800</t>
        </is>
      </c>
      <c r="H572" s="3" t="inlineStr">
        <is>
          <t>THE2027: 1001–1200</t>
        </is>
      </c>
      <c r="I572" s="3" t="inlineStr">
        <is>
          <t>NIRF2025 University: 56</t>
        </is>
      </c>
      <c r="J572" s="4" t="inlineStr">
        <is>
          <t>791–800</t>
        </is>
      </c>
      <c r="K572" s="4" t="inlineStr">
        <is>
          <t>1001–1200</t>
        </is>
      </c>
      <c r="L572" s="4" t="inlineStr">
        <is>
          <t>нет в опубл. списке (опубликован только топ-15 страны)</t>
        </is>
      </c>
      <c r="M572" s="4" t="inlineStr">
        <is>
          <t>NIRF 2025 (Overall)</t>
        </is>
      </c>
      <c r="N572" s="4" t="inlineStr">
        <is>
          <t>91</t>
        </is>
      </c>
      <c r="O572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72" s="4" t="inlineStr">
        <is>
          <t>NIRF 2025, другие категории: University 56</t>
        </is>
      </c>
    </row>
    <row r="573">
      <c r="A573" s="3" t="inlineStr">
        <is>
          <t>India|Shanmugha Arts Science Technology &amp; Research Academy</t>
        </is>
      </c>
      <c r="B573" s="3" t="inlineStr">
        <is>
          <t>India</t>
        </is>
      </c>
      <c r="C573" s="3" t="inlineStr">
        <is>
          <t>Танджавур</t>
        </is>
      </c>
      <c r="D573" s="3" t="inlineStr">
        <is>
          <t>Shanmugha Arts Science Technology &amp; Research Academy</t>
        </is>
      </c>
      <c r="E573" s="3" t="inlineStr">
        <is>
          <t>SASTRA Deemed University / சண்முகா கலை, அறிவியல், தொழில்நுட்பம் மற்றும் ஆராய்ச்சி அகாடமி</t>
        </is>
      </c>
      <c r="F573" s="3" t="inlineStr">
        <is>
          <t>https://www.sastra.edu</t>
        </is>
      </c>
      <c r="G573" s="3" t="inlineStr"/>
      <c r="H573" s="3" t="inlineStr">
        <is>
          <t>THE2027: 1401–1600</t>
        </is>
      </c>
      <c r="I573" s="3" t="inlineStr">
        <is>
          <t>NIRF2025 University: 29</t>
        </is>
      </c>
      <c r="J573" s="4" t="inlineStr">
        <is>
          <t>не в рейтинге</t>
        </is>
      </c>
      <c r="K573" s="4" t="inlineStr">
        <is>
          <t>1401–1600</t>
        </is>
      </c>
      <c r="L573" s="4" t="inlineStr">
        <is>
          <t>нет в опубл. списке (опубликован только топ-15 страны)</t>
        </is>
      </c>
      <c r="M573" s="4" t="inlineStr">
        <is>
          <t>NIRF 2025 (Overall)</t>
        </is>
      </c>
      <c r="N573" s="4" t="inlineStr">
        <is>
          <t>51</t>
        </is>
      </c>
      <c r="O573" s="4" t="inlineStr">
        <is>
          <t>https://www.timeshighereducation.com/world-university-rankings/2027/world-ranking
https://www.nirfindia.org/Rankings/2025/OverallRanking.html</t>
        </is>
      </c>
      <c r="P573" s="4" t="inlineStr">
        <is>
          <t>THE: в таблице как «SASTRA University»; NIRF 2025, другие категории: University 29, Engineering 40, Law 11</t>
        </is>
      </c>
    </row>
    <row r="574">
      <c r="A574" s="3" t="inlineStr">
        <is>
          <t>India|Sharda University</t>
        </is>
      </c>
      <c r="B574" s="3" t="inlineStr">
        <is>
          <t>India</t>
        </is>
      </c>
      <c r="C574" s="3" t="inlineStr">
        <is>
          <t>Большая Нойда</t>
        </is>
      </c>
      <c r="D574" s="3" t="inlineStr">
        <is>
          <t>Sharda University</t>
        </is>
      </c>
      <c r="E574" s="3" t="inlineStr"/>
      <c r="F574" s="3" t="inlineStr">
        <is>
          <t>https://www.sharda.ac.in</t>
        </is>
      </c>
      <c r="G574" s="3" t="inlineStr"/>
      <c r="H574" s="3" t="inlineStr">
        <is>
          <t>THE2027: 651–700</t>
        </is>
      </c>
      <c r="I574" s="3" t="inlineStr">
        <is>
          <t>NIRF2025 University: 87</t>
        </is>
      </c>
      <c r="J574" s="4" t="inlineStr">
        <is>
          <t>не в рейтинге</t>
        </is>
      </c>
      <c r="K574" s="4" t="inlineStr">
        <is>
          <t>651–700</t>
        </is>
      </c>
      <c r="L574" s="4" t="inlineStr">
        <is>
          <t>нет в опубл. списке (опубликован только топ-15 страны)</t>
        </is>
      </c>
      <c r="M574" s="4" t="inlineStr">
        <is>
          <t>NIRF 2025 (Overall)</t>
        </is>
      </c>
      <c r="N574" s="4" t="inlineStr">
        <is>
          <t>101–150</t>
        </is>
      </c>
      <c r="O574" s="4" t="inlineStr">
        <is>
          <t>https://www.timeshighereducation.com/world-university-rankings/2027/world-ranking
https://www.nirfindia.org/Rankings/2025/OverallRanking150.html</t>
        </is>
      </c>
      <c r="P574" s="4" t="inlineStr">
        <is>
          <t>NIRF 2025, другие категории: University 87, Engineering 101–150, Management 101–150, Pharmacy 57</t>
        </is>
      </c>
    </row>
    <row r="575">
      <c r="A575" s="3" t="inlineStr">
        <is>
          <t>India|Sher-e-Kashmir University of Agricultural Sciences and Technology of Kashmir</t>
        </is>
      </c>
      <c r="B575" s="3" t="inlineStr">
        <is>
          <t>India</t>
        </is>
      </c>
      <c r="C575" s="3" t="inlineStr">
        <is>
          <t>Сринагар</t>
        </is>
      </c>
      <c r="D575" s="3" t="inlineStr">
        <is>
          <t>Sher-e-Kashmir University of Agricultural Sciences and Technology of Kashmir</t>
        </is>
      </c>
      <c r="E575" s="3" t="inlineStr"/>
      <c r="F575" s="3" t="inlineStr">
        <is>
          <t>https://www.skuastkashmir.ac.in</t>
        </is>
      </c>
      <c r="G575" s="3" t="inlineStr"/>
      <c r="H575" s="3" t="inlineStr"/>
      <c r="I575" s="3" t="inlineStr">
        <is>
          <t>NIRF2025 University: 75</t>
        </is>
      </c>
      <c r="J575" s="4" t="inlineStr">
        <is>
          <t>не в рейтинге</t>
        </is>
      </c>
      <c r="K575" s="4" t="inlineStr">
        <is>
          <t>не в рейтинге</t>
        </is>
      </c>
      <c r="L575" s="4" t="inlineStr">
        <is>
          <t>нет в опубл. списке (опубликован только топ-15 страны)</t>
        </is>
      </c>
      <c r="M575" s="4" t="inlineStr">
        <is>
          <t>NIRF 2025 (Overall)</t>
        </is>
      </c>
      <c r="N575" s="4" t="inlineStr">
        <is>
          <t>94</t>
        </is>
      </c>
      <c r="O575" s="4" t="inlineStr">
        <is>
          <t>https://www.nirfindia.org/Rankings/2025/OverallRanking.html</t>
        </is>
      </c>
      <c r="P575" s="4" t="inlineStr">
        <is>
          <t>NIRF 2025, другие категории: University 75, Agriculture 7</t>
        </is>
      </c>
    </row>
    <row r="576">
      <c r="A576" s="3" t="inlineStr">
        <is>
          <t>India|Shiv Nadar Institution of Eminence (Shiv Nadar University), Delhi NCR</t>
        </is>
      </c>
      <c r="B576" s="3" t="inlineStr">
        <is>
          <t>India</t>
        </is>
      </c>
      <c r="C576" s="3" t="inlineStr">
        <is>
          <t>Большая Нойда</t>
        </is>
      </c>
      <c r="D576" s="3" t="inlineStr">
        <is>
          <t>Shiv Nadar Institution of Eminence (Shiv Nadar University), Delhi NCR</t>
        </is>
      </c>
      <c r="E576" s="3" t="inlineStr">
        <is>
          <t>शिव नादर विश्वविद्यालय</t>
        </is>
      </c>
      <c r="F576" s="3" t="inlineStr">
        <is>
          <t>https://snu.edu.in</t>
        </is>
      </c>
      <c r="G576" s="3" t="inlineStr">
        <is>
          <t>QS2027: 1001-1200</t>
        </is>
      </c>
      <c r="H576" s="3" t="inlineStr">
        <is>
          <t>THE2027: 1201–1400</t>
        </is>
      </c>
      <c r="I576" s="3" t="inlineStr">
        <is>
          <t>NIRF2025 University: 57</t>
        </is>
      </c>
      <c r="J576" s="4" t="inlineStr">
        <is>
          <t>1001–1200</t>
        </is>
      </c>
      <c r="K576" s="4" t="inlineStr">
        <is>
          <t>1201–1400</t>
        </is>
      </c>
      <c r="L576" s="4" t="inlineStr">
        <is>
          <t>нет в опубл. списке (опубликован только топ-15 страны)</t>
        </is>
      </c>
      <c r="M576" s="4" t="inlineStr">
        <is>
          <t>NIRF 2025</t>
        </is>
      </c>
      <c r="N576" s="4" t="inlineStr">
        <is>
          <t>не в рейтинге</t>
        </is>
      </c>
      <c r="O576" s="4" t="inlineStr">
        <is>
          <t>https://www.topuniversities.com/world-university-rankings (QS WUR 2027)
https://www.timeshighereducation.com/world-university-rankings/2027/world-ranking
https://www.nirfindia.org/Rankings/2025/Ranking.html</t>
        </is>
      </c>
      <c r="P576" s="4" t="inlineStr">
        <is>
          <t>QS: в таблице как «Shiv Nadar University, Delhi NCR»; THE: в таблице как «Shiv Nadar University»</t>
        </is>
      </c>
    </row>
    <row r="577">
      <c r="A577" s="3" t="inlineStr">
        <is>
          <t>India|Shoolini University of Biotechnology and Management Sciences</t>
        </is>
      </c>
      <c r="B577" s="3" t="inlineStr">
        <is>
          <t>India</t>
        </is>
      </c>
      <c r="C577" s="3" t="inlineStr">
        <is>
          <t>Солан</t>
        </is>
      </c>
      <c r="D577" s="3" t="inlineStr">
        <is>
          <t>Shoolini University of Biotechnology and Management Sciences</t>
        </is>
      </c>
      <c r="E577" s="3" t="inlineStr"/>
      <c r="F577" s="3" t="inlineStr">
        <is>
          <t>https://shooliniuniversity.com</t>
        </is>
      </c>
      <c r="G577" s="3" t="inlineStr">
        <is>
          <t>QS2027: 452</t>
        </is>
      </c>
      <c r="H577" s="3" t="inlineStr">
        <is>
          <t>THE2027: 451–500</t>
        </is>
      </c>
      <c r="I577" s="3" t="inlineStr">
        <is>
          <t>NIRF2025 University: 69</t>
        </is>
      </c>
      <c r="J577" s="4">
        <f>452</f>
        <v/>
      </c>
      <c r="K577" s="4" t="inlineStr">
        <is>
          <t>451–500</t>
        </is>
      </c>
      <c r="L577" s="4" t="inlineStr">
        <is>
          <t>нет в опубл. списке (опубликован только топ-15 страны)</t>
        </is>
      </c>
      <c r="M577" s="4" t="inlineStr">
        <is>
          <t>NIRF 2025 (Overall)</t>
        </is>
      </c>
      <c r="N577" s="4" t="inlineStr">
        <is>
          <t>101–150</t>
        </is>
      </c>
      <c r="O577" s="4" t="inlineStr">
        <is>
          <t>https://www.topuniversities.com/world-university-rankings (QS WUR 2027)
https://www.timeshighereducation.com/world-university-rankings/2027/world-ranking
https://www.nirfindia.org/Rankings/2025/OverallRanking150.html</t>
        </is>
      </c>
      <c r="P577" s="4" t="inlineStr">
        <is>
          <t>NIRF 2025, другие категории: University 69, Engineering 101–150, Pharmacy 44</t>
        </is>
      </c>
    </row>
    <row r="578">
      <c r="A578" s="3" t="inlineStr">
        <is>
          <t>India|Siksha 'O' Anusandhan (Deemed to be University)</t>
        </is>
      </c>
      <c r="B578" s="3" t="inlineStr">
        <is>
          <t>India</t>
        </is>
      </c>
      <c r="C578" s="3" t="inlineStr">
        <is>
          <t>Бхубанешвар</t>
        </is>
      </c>
      <c r="D578" s="3" t="inlineStr">
        <is>
          <t>Siksha 'O' Anusandhan (Deemed to be University)</t>
        </is>
      </c>
      <c r="E578" s="3" t="inlineStr"/>
      <c r="F578" s="3" t="inlineStr">
        <is>
          <t>https://www.soa.ac.in</t>
        </is>
      </c>
      <c r="G578" s="3" t="inlineStr"/>
      <c r="H578" s="3" t="inlineStr">
        <is>
          <t>THE2027: 1001–1200</t>
        </is>
      </c>
      <c r="I578" s="3" t="inlineStr">
        <is>
          <t>NIRF2025 University: 15</t>
        </is>
      </c>
      <c r="J578" s="4" t="inlineStr">
        <is>
          <t>1201–1400</t>
        </is>
      </c>
      <c r="K578" s="4" t="inlineStr">
        <is>
          <t>1001–1200</t>
        </is>
      </c>
      <c r="L578" s="4" t="inlineStr">
        <is>
          <t>нет в опубл. списке (опубликован только топ-15 страны)</t>
        </is>
      </c>
      <c r="M578" s="4" t="inlineStr">
        <is>
          <t>NIRF 2025 (Overall)</t>
        </is>
      </c>
      <c r="N578" s="4" t="inlineStr">
        <is>
          <t>25</t>
        </is>
      </c>
      <c r="O578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78" s="4" t="inlineStr">
        <is>
          <t>QS: в таблице как «Siksha ‘O’ Anusandhan (Deemed to be University), SOA»; NIRF 2025, другие категории: University 15, Engineering 22, Research 49, Medical 15, Management 66, Law 10</t>
        </is>
      </c>
    </row>
    <row r="579">
      <c r="A579" s="3" t="inlineStr">
        <is>
          <t>India|Somaiya Vidyavihar University</t>
        </is>
      </c>
      <c r="B579" s="3" t="inlineStr">
        <is>
          <t>India</t>
        </is>
      </c>
      <c r="C579" s="3" t="inlineStr">
        <is>
          <t>Мумбаи</t>
        </is>
      </c>
      <c r="D579" s="3" t="inlineStr">
        <is>
          <t>Somaiya Vidyavihar University</t>
        </is>
      </c>
      <c r="E579" s="3" t="inlineStr"/>
      <c r="F579" s="3" t="inlineStr">
        <is>
          <t>https://www.somaiya.edu</t>
        </is>
      </c>
      <c r="G579" s="3" t="inlineStr"/>
      <c r="H579" s="3" t="inlineStr"/>
      <c r="I579" s="3" t="inlineStr"/>
      <c r="J579" s="4" t="inlineStr">
        <is>
          <t>не в рейтинге</t>
        </is>
      </c>
      <c r="K579" s="4" t="inlineStr">
        <is>
          <t>не в рейтинге</t>
        </is>
      </c>
      <c r="L579" s="4" t="inlineStr">
        <is>
          <t>нет в опубл. списке (опубликован только топ-15 страны)</t>
        </is>
      </c>
      <c r="M579" s="4" t="inlineStr">
        <is>
          <t>NIRF 2025</t>
        </is>
      </c>
      <c r="N579" s="4" t="inlineStr">
        <is>
          <t>не в рейтинге</t>
        </is>
      </c>
      <c r="O579" s="4" t="inlineStr">
        <is>
          <t>https://www.nirfindia.org/Rankings/2025/Ranking.html</t>
        </is>
      </c>
      <c r="P579" s="4" t="n"/>
    </row>
    <row r="580">
      <c r="A580" s="3" t="inlineStr">
        <is>
          <t>India|Sri Balaji Vidyapeeth Mahatma Gandhi Medical College Campus</t>
        </is>
      </c>
      <c r="B580" s="3" t="inlineStr">
        <is>
          <t>India</t>
        </is>
      </c>
      <c r="C580" s="3" t="inlineStr">
        <is>
          <t>Пудучерри</t>
        </is>
      </c>
      <c r="D580" s="3" t="inlineStr">
        <is>
          <t>Sri Balaji Vidyapeeth Mahatma Gandhi Medical College Campus</t>
        </is>
      </c>
      <c r="E580" s="3" t="inlineStr">
        <is>
          <t>Sri Balaji Vidyapeeth (Deemed to be University)</t>
        </is>
      </c>
      <c r="F580" s="3" t="inlineStr">
        <is>
          <t>https://sbvu.ac.in</t>
        </is>
      </c>
      <c r="G580" s="3" t="inlineStr"/>
      <c r="H580" s="3" t="inlineStr">
        <is>
          <t>THE2027: 1801–2000</t>
        </is>
      </c>
      <c r="I580" s="3" t="inlineStr">
        <is>
          <t>NIRF2025 University: 67</t>
        </is>
      </c>
      <c r="J580" s="4" t="inlineStr">
        <is>
          <t>не в рейтинге</t>
        </is>
      </c>
      <c r="K580" s="4" t="inlineStr">
        <is>
          <t>1801–2000</t>
        </is>
      </c>
      <c r="L580" s="4" t="inlineStr">
        <is>
          <t>нет в опубл. списке (опубликован только топ-15 страны)</t>
        </is>
      </c>
      <c r="M580" s="4" t="inlineStr">
        <is>
          <t>NIRF 2025 (Overall)</t>
        </is>
      </c>
      <c r="N580" s="4" t="inlineStr">
        <is>
          <t>101–150</t>
        </is>
      </c>
      <c r="O580" s="4" t="inlineStr">
        <is>
          <t>https://www.timeshighereducation.com/world-university-rankings/2027/world-ranking
https://www.nirfindia.org/Rankings/2025/OverallRanking150.html</t>
        </is>
      </c>
      <c r="P580" s="4" t="inlineStr">
        <is>
          <t>NIRF 2025, другие категории: University 67</t>
        </is>
      </c>
    </row>
    <row r="581">
      <c r="A581" s="3" t="inlineStr">
        <is>
          <t>India|Sri Krishna College of Engineering and Technology</t>
        </is>
      </c>
      <c r="B581" s="3" t="inlineStr">
        <is>
          <t>India</t>
        </is>
      </c>
      <c r="C581" s="3" t="inlineStr">
        <is>
          <t>Коимбатур</t>
        </is>
      </c>
      <c r="D581" s="3" t="inlineStr">
        <is>
          <t>Sri Krishna College of Engineering and Technology</t>
        </is>
      </c>
      <c r="E581" s="3" t="inlineStr"/>
      <c r="F581" s="3" t="inlineStr">
        <is>
          <t>https://skcet.ac.in</t>
        </is>
      </c>
      <c r="G581" s="3" t="inlineStr"/>
      <c r="H581" s="3" t="inlineStr"/>
      <c r="I581" s="3" t="inlineStr">
        <is>
          <t>NIRF2025 Engineering: 100</t>
        </is>
      </c>
      <c r="J581" s="4" t="inlineStr">
        <is>
          <t>не в рейтинге</t>
        </is>
      </c>
      <c r="K581" s="4" t="inlineStr">
        <is>
          <t>не в рейтинге</t>
        </is>
      </c>
      <c r="L581" s="4" t="inlineStr">
        <is>
          <t>нет в опубл. списке (опубликован только топ-15 страны)</t>
        </is>
      </c>
      <c r="M581" s="4" t="inlineStr">
        <is>
          <t>NIRF 2025 (Engineering)</t>
        </is>
      </c>
      <c r="N581" s="4" t="inlineStr">
        <is>
          <t>100</t>
        </is>
      </c>
      <c r="O581" s="4" t="inlineStr">
        <is>
          <t>https://www.nirfindia.org/Rankings/2025/EngineeringRanking.html</t>
        </is>
      </c>
      <c r="P581" s="4" t="n"/>
    </row>
    <row r="582">
      <c r="A582" s="3" t="inlineStr">
        <is>
          <t>India|Sri Ramachandra Institute of Higher Education and Research</t>
        </is>
      </c>
      <c r="B582" s="3" t="inlineStr">
        <is>
          <t>India</t>
        </is>
      </c>
      <c r="C582" s="3" t="inlineStr">
        <is>
          <t>Ченнаи (Порур)</t>
        </is>
      </c>
      <c r="D582" s="3" t="inlineStr">
        <is>
          <t>Sri Ramachandra Institute of Higher Education and Research</t>
        </is>
      </c>
      <c r="E582" s="3" t="inlineStr">
        <is>
          <t>Sri Ramachandra Institute of Higher Education and Research (SRIHER), ஸ்ரீ ராமச்சந்திரா உயர்கல்வி மற்றும் ஆராய்ச்சி நிறுவனம்</t>
        </is>
      </c>
      <c r="F582" s="3" t="inlineStr">
        <is>
          <t>https://sriramachandra.edu</t>
        </is>
      </c>
      <c r="G582" s="3" t="inlineStr"/>
      <c r="H582" s="3" t="inlineStr"/>
      <c r="I582" s="3" t="inlineStr">
        <is>
          <t>NIRF2025 University: 60</t>
        </is>
      </c>
      <c r="J582" s="4" t="inlineStr">
        <is>
          <t>не в рейтинге</t>
        </is>
      </c>
      <c r="K582" s="4" t="inlineStr">
        <is>
          <t>1801–2000</t>
        </is>
      </c>
      <c r="L582" s="4" t="inlineStr">
        <is>
          <t>нет в опубл. списке (опубликован только топ-15 страны)</t>
        </is>
      </c>
      <c r="M582" s="4" t="inlineStr">
        <is>
          <t>NIRF 2025 (Overall)</t>
        </is>
      </c>
      <c r="N582" s="4" t="inlineStr">
        <is>
          <t>101–150</t>
        </is>
      </c>
      <c r="O582" s="4" t="inlineStr">
        <is>
          <t>https://www.timeshighereducation.com/world-university-rankings/2027/world-ranking
https://www.nirfindia.org/Rankings/2025/OverallRanking150.html</t>
        </is>
      </c>
      <c r="P582" s="4" t="inlineStr">
        <is>
          <t>NIRF 2025, другие категории: University 60, Medical 21, Pharmacy 36</t>
        </is>
      </c>
    </row>
    <row r="583">
      <c r="A583" s="3" t="inlineStr">
        <is>
          <t>India|Symbiosis International</t>
        </is>
      </c>
      <c r="B583" s="3" t="inlineStr">
        <is>
          <t>India</t>
        </is>
      </c>
      <c r="C583" s="3" t="inlineStr">
        <is>
          <t>Пуна</t>
        </is>
      </c>
      <c r="D583" s="3" t="inlineStr">
        <is>
          <t>Symbiosis International</t>
        </is>
      </c>
      <c r="E583" s="3" t="inlineStr">
        <is>
          <t>Symbiosis International (Deemed University), सिम्बायोसिस इंटरनॅशनल (अभिमत विद्यापीठ)</t>
        </is>
      </c>
      <c r="F583" s="3" t="inlineStr">
        <is>
          <t>https://www.siu.edu.in</t>
        </is>
      </c>
      <c r="G583" s="3" t="inlineStr">
        <is>
          <t>QS2027: 655</t>
        </is>
      </c>
      <c r="H583" s="3" t="inlineStr"/>
      <c r="I583" s="3" t="inlineStr">
        <is>
          <t>NIRF2025 University: 24</t>
        </is>
      </c>
      <c r="J583" s="4">
        <f>655</f>
        <v/>
      </c>
      <c r="K583" s="4" t="inlineStr">
        <is>
          <t>601–650</t>
        </is>
      </c>
      <c r="L583" s="4" t="inlineStr">
        <is>
          <t>нет в опубл. списке (опубликован только топ-15 страны)</t>
        </is>
      </c>
      <c r="M583" s="4" t="inlineStr">
        <is>
          <t>NIRF 2025 (Overall)</t>
        </is>
      </c>
      <c r="N583" s="4" t="inlineStr">
        <is>
          <t>40</t>
        </is>
      </c>
      <c r="O583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83" s="4" t="inlineStr">
        <is>
          <t>THE: в таблице как «Symbiosis International University»; NIRF 2025, другие категории: University 24, Engineering 46</t>
        </is>
      </c>
    </row>
    <row r="584">
      <c r="A584" s="3" t="inlineStr">
        <is>
          <t>India|Tamil Nadu Agricultural University</t>
        </is>
      </c>
      <c r="B584" s="3" t="inlineStr">
        <is>
          <t>India</t>
        </is>
      </c>
      <c r="C584" s="3" t="inlineStr">
        <is>
          <t>Коимбатур</t>
        </is>
      </c>
      <c r="D584" s="3" t="inlineStr">
        <is>
          <t>Tamil Nadu Agricultural University</t>
        </is>
      </c>
      <c r="E584" s="3" t="inlineStr">
        <is>
          <t>தமிழ்நாடு வேளாண்மைப் பல்கலைக்கழகம்</t>
        </is>
      </c>
      <c r="F584" s="3" t="inlineStr">
        <is>
          <t>https://tnau.ac.in</t>
        </is>
      </c>
      <c r="G584" s="3" t="inlineStr"/>
      <c r="H584" s="3" t="inlineStr"/>
      <c r="I584" s="3" t="inlineStr">
        <is>
          <t>NIRF2025 University: 73</t>
        </is>
      </c>
      <c r="J584" s="4" t="inlineStr">
        <is>
          <t>не в рейтинге</t>
        </is>
      </c>
      <c r="K584" s="4" t="inlineStr">
        <is>
          <t>1601–1800</t>
        </is>
      </c>
      <c r="L584" s="4" t="inlineStr">
        <is>
          <t>нет в опубл. списке (опубликован только топ-15 страны)</t>
        </is>
      </c>
      <c r="M584" s="4" t="inlineStr">
        <is>
          <t>NIRF 2025 (Overall)</t>
        </is>
      </c>
      <c r="N584" s="4" t="inlineStr">
        <is>
          <t>88</t>
        </is>
      </c>
      <c r="O584" s="4" t="inlineStr">
        <is>
          <t>https://www.timeshighereducation.com/world-university-rankings/2027/world-ranking
https://www.nirfindia.org/Rankings/2025/OverallRanking.html</t>
        </is>
      </c>
      <c r="P584" s="4" t="inlineStr">
        <is>
          <t>NIRF 2025, другие категории: University 73, Agriculture 6</t>
        </is>
      </c>
    </row>
    <row r="585">
      <c r="A585" s="3" t="inlineStr">
        <is>
          <t>India|Tata Institute of Social Sciences</t>
        </is>
      </c>
      <c r="B585" s="3" t="inlineStr">
        <is>
          <t>India</t>
        </is>
      </c>
      <c r="C585" s="3" t="inlineStr">
        <is>
          <t>Мумбаи</t>
        </is>
      </c>
      <c r="D585" s="3" t="inlineStr">
        <is>
          <t>Tata Institute of Social Sciences</t>
        </is>
      </c>
      <c r="E585" s="3" t="inlineStr"/>
      <c r="F585" s="3" t="inlineStr">
        <is>
          <t>https://tiss.ac.in</t>
        </is>
      </c>
      <c r="G585" s="3" t="inlineStr"/>
      <c r="H585" s="3" t="inlineStr"/>
      <c r="I585" s="3" t="inlineStr">
        <is>
          <t>NIRF2025 University: 72</t>
        </is>
      </c>
      <c r="J585" s="4" t="inlineStr">
        <is>
          <t>не в рейтинге</t>
        </is>
      </c>
      <c r="K585" s="4" t="inlineStr">
        <is>
          <t>не в рейтинге</t>
        </is>
      </c>
      <c r="L585" s="4" t="inlineStr">
        <is>
          <t>нет в опубл. списке (опубликован только топ-15 страны)</t>
        </is>
      </c>
      <c r="M585" s="4" t="inlineStr">
        <is>
          <t>NIRF 2025 (Overall)</t>
        </is>
      </c>
      <c r="N585" s="4" t="inlineStr">
        <is>
          <t>101–150</t>
        </is>
      </c>
      <c r="O585" s="4" t="inlineStr">
        <is>
          <t>https://www.nirfindia.org/Rankings/2025/OverallRanking150.html</t>
        </is>
      </c>
      <c r="P585" s="4" t="inlineStr">
        <is>
          <t>NIRF 2025, другие категории: University 72</t>
        </is>
      </c>
    </row>
    <row r="586">
      <c r="A586" s="3" t="inlineStr">
        <is>
          <t>India|Tezpur University</t>
        </is>
      </c>
      <c r="B586" s="3" t="inlineStr">
        <is>
          <t>India</t>
        </is>
      </c>
      <c r="C586" s="3" t="inlineStr">
        <is>
          <t>Тезпур</t>
        </is>
      </c>
      <c r="D586" s="3" t="inlineStr">
        <is>
          <t>Tezpur University</t>
        </is>
      </c>
      <c r="E586" s="3" t="inlineStr"/>
      <c r="F586" s="3" t="inlineStr">
        <is>
          <t>https://www.tezu.ernet.in</t>
        </is>
      </c>
      <c r="G586" s="3" t="inlineStr"/>
      <c r="H586" s="3" t="inlineStr">
        <is>
          <t>THE2027: 1201–1400</t>
        </is>
      </c>
      <c r="I586" s="3" t="inlineStr">
        <is>
          <t>NIRF2025 University: 79</t>
        </is>
      </c>
      <c r="J586" s="4" t="inlineStr">
        <is>
          <t>не в рейтинге</t>
        </is>
      </c>
      <c r="K586" s="4" t="inlineStr">
        <is>
          <t>1201–1400</t>
        </is>
      </c>
      <c r="L586" s="4" t="inlineStr">
        <is>
          <t>нет в опубл. списке (опубликован только топ-15 страны)</t>
        </is>
      </c>
      <c r="M586" s="4" t="inlineStr">
        <is>
          <t>NIRF 2025 (Overall)</t>
        </is>
      </c>
      <c r="N586" s="4" t="inlineStr">
        <is>
          <t>101–150</t>
        </is>
      </c>
      <c r="O586" s="4" t="inlineStr">
        <is>
          <t>https://www.timeshighereducation.com/world-university-rankings/2027/world-ranking
https://www.nirfindia.org/Rankings/2025/OverallRanking150.html</t>
        </is>
      </c>
      <c r="P586" s="4" t="inlineStr">
        <is>
          <t>NIRF 2025, другие категории: University 79, Engineering 151–200, Management 101–150</t>
        </is>
      </c>
    </row>
    <row r="587">
      <c r="A587" s="3" t="inlineStr">
        <is>
          <t>India|Thapar Institute of Engineering and Technology</t>
        </is>
      </c>
      <c r="B587" s="3" t="inlineStr">
        <is>
          <t>India</t>
        </is>
      </c>
      <c r="C587" s="3" t="inlineStr">
        <is>
          <t>Патиала</t>
        </is>
      </c>
      <c r="D587" s="3" t="inlineStr">
        <is>
          <t>Thapar Institute of Engineering and Technology</t>
        </is>
      </c>
      <c r="E587" s="3" t="inlineStr">
        <is>
          <t>Thapar Institute of Engineering &amp; Technology (TIET)</t>
        </is>
      </c>
      <c r="F587" s="3" t="inlineStr">
        <is>
          <t>https://www.thapar.edu</t>
        </is>
      </c>
      <c r="G587" s="3" t="inlineStr">
        <is>
          <t>QS2027: 701-710</t>
        </is>
      </c>
      <c r="H587" s="3" t="inlineStr">
        <is>
          <t>THE2027: 701–800</t>
        </is>
      </c>
      <c r="I587" s="3" t="inlineStr">
        <is>
          <t>NIRF2025 University: 26</t>
        </is>
      </c>
      <c r="J587" s="4" t="inlineStr">
        <is>
          <t>701–710</t>
        </is>
      </c>
      <c r="K587" s="4" t="inlineStr">
        <is>
          <t>701–800</t>
        </is>
      </c>
      <c r="L587" s="4" t="inlineStr">
        <is>
          <t>нет в опубл. списке (опубликован только топ-15 страны)</t>
        </is>
      </c>
      <c r="M587" s="4" t="inlineStr">
        <is>
          <t>NIRF 2025 (Overall)</t>
        </is>
      </c>
      <c r="N587" s="4" t="inlineStr">
        <is>
          <t>44</t>
        </is>
      </c>
      <c r="O587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87" s="4" t="inlineStr">
        <is>
          <t>NIRF 2025, другие категории: University 26, Engineering 29, Research 42, Management 46</t>
        </is>
      </c>
    </row>
    <row r="588">
      <c r="A588" s="3" t="inlineStr">
        <is>
          <t>India|University of Agricultural Sciences Bangalore</t>
        </is>
      </c>
      <c r="B588" s="3" t="inlineStr">
        <is>
          <t>India</t>
        </is>
      </c>
      <c r="C588" s="3" t="inlineStr">
        <is>
          <t>Бангалор</t>
        </is>
      </c>
      <c r="D588" s="3" t="inlineStr">
        <is>
          <t>University of Agricultural Sciences Bangalore</t>
        </is>
      </c>
      <c r="E588" s="3" t="inlineStr">
        <is>
          <t>ಕೃಷಿ ವಿಜ್ಞಾನಗಳ ವಿಶ್ವವಿದ್ಯಾಲಯ, ಬೆಂಗಳೂರು</t>
        </is>
      </c>
      <c r="F588" s="3" t="inlineStr">
        <is>
          <t>https://www.uasbangalore.edu.in</t>
        </is>
      </c>
      <c r="G588" s="3" t="inlineStr"/>
      <c r="H588" s="3" t="inlineStr"/>
      <c r="I588" s="3" t="inlineStr">
        <is>
          <t>NIRF2025 University: 95</t>
        </is>
      </c>
      <c r="J588" s="4" t="inlineStr">
        <is>
          <t>не в рейтинге</t>
        </is>
      </c>
      <c r="K588" s="4" t="inlineStr">
        <is>
          <t>не в рейтинге</t>
        </is>
      </c>
      <c r="L588" s="4" t="inlineStr">
        <is>
          <t>нет в опубл. списке (опубликован только топ-15 страны)</t>
        </is>
      </c>
      <c r="M588" s="4" t="inlineStr">
        <is>
          <t>NIRF 2025 (Overall)</t>
        </is>
      </c>
      <c r="N588" s="4" t="inlineStr">
        <is>
          <t>101–150</t>
        </is>
      </c>
      <c r="O588" s="4" t="inlineStr">
        <is>
          <t>https://www.nirfindia.org/Rankings/2025/OverallRanking150.html</t>
        </is>
      </c>
      <c r="P588" s="4" t="inlineStr">
        <is>
          <t>NIRF 2025, другие категории: University 95, Agriculture 11</t>
        </is>
      </c>
    </row>
    <row r="589">
      <c r="A589" s="3" t="inlineStr">
        <is>
          <t>India|University of Delhi</t>
        </is>
      </c>
      <c r="B589" s="3" t="inlineStr">
        <is>
          <t>India</t>
        </is>
      </c>
      <c r="C589" s="3" t="inlineStr">
        <is>
          <t>Нью-Дели (Дели)</t>
        </is>
      </c>
      <c r="D589" s="3" t="inlineStr">
        <is>
          <t>University of Delhi</t>
        </is>
      </c>
      <c r="E589" s="3" t="inlineStr">
        <is>
          <t>दिल्ली विश्वविद्यालय</t>
        </is>
      </c>
      <c r="F589" s="3" t="inlineStr">
        <is>
          <t>https://www.du.ac.in</t>
        </is>
      </c>
      <c r="G589" s="3" t="inlineStr">
        <is>
          <t>QS2027: 322</t>
        </is>
      </c>
      <c r="H589" s="3" t="inlineStr">
        <is>
          <t>THE2027: 701-800</t>
        </is>
      </c>
      <c r="I589" s="3" t="inlineStr">
        <is>
          <t>NIRF2025 University: 5</t>
        </is>
      </c>
      <c r="J589" s="4">
        <f>322</f>
        <v/>
      </c>
      <c r="K589" s="4" t="inlineStr">
        <is>
          <t>701–800</t>
        </is>
      </c>
      <c r="L589" s="4" t="inlineStr">
        <is>
          <t>543</t>
        </is>
      </c>
      <c r="M589" s="4" t="inlineStr">
        <is>
          <t>NIRF 2025 (Overall)</t>
        </is>
      </c>
      <c r="N589" s="4" t="inlineStr">
        <is>
          <t>15</t>
        </is>
      </c>
      <c r="O58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P589" s="4" t="inlineStr">
        <is>
          <t>NIRF 2025, другие категории: University 5, Research 12</t>
        </is>
      </c>
    </row>
    <row r="590">
      <c r="A590" s="3" t="inlineStr">
        <is>
          <t>India|University of Jammu</t>
        </is>
      </c>
      <c r="B590" s="3" t="inlineStr">
        <is>
          <t>India</t>
        </is>
      </c>
      <c r="C590" s="3" t="inlineStr">
        <is>
          <t>Джамму</t>
        </is>
      </c>
      <c r="D590" s="3" t="inlineStr">
        <is>
          <t>University of Jammu</t>
        </is>
      </c>
      <c r="E590" s="3" t="inlineStr">
        <is>
          <t>जम्मू विश्वविद्यालय</t>
        </is>
      </c>
      <c r="F590" s="3" t="inlineStr">
        <is>
          <t>https://www.jammuuniversity.ac.in</t>
        </is>
      </c>
      <c r="G590" s="3" t="inlineStr"/>
      <c r="H590" s="3" t="inlineStr"/>
      <c r="I590" s="3" t="inlineStr">
        <is>
          <t>NIRF2025 University: 51</t>
        </is>
      </c>
      <c r="J590" s="4" t="inlineStr">
        <is>
          <t>не в рейтинге</t>
        </is>
      </c>
      <c r="K590" s="4" t="inlineStr">
        <is>
          <t>не в рейтинге</t>
        </is>
      </c>
      <c r="L590" s="4" t="inlineStr">
        <is>
          <t>нет в опубл. списке (опубликован только топ-15 страны)</t>
        </is>
      </c>
      <c r="M590" s="4" t="inlineStr">
        <is>
          <t>NIRF 2025 (Overall)</t>
        </is>
      </c>
      <c r="N590" s="4" t="inlineStr">
        <is>
          <t>87</t>
        </is>
      </c>
      <c r="O590" s="4" t="inlineStr">
        <is>
          <t>https://www.nirfindia.org/Rankings/2025/OverallRanking.html</t>
        </is>
      </c>
      <c r="P590" s="4" t="inlineStr">
        <is>
          <t>NIRF 2025, другие категории: University 51</t>
        </is>
      </c>
    </row>
    <row r="591">
      <c r="A591" s="3" t="inlineStr">
        <is>
          <t>India|University of Kerala</t>
        </is>
      </c>
      <c r="B591" s="3" t="inlineStr">
        <is>
          <t>India</t>
        </is>
      </c>
      <c r="C591" s="3" t="inlineStr">
        <is>
          <t>Тривандрам (Тируванантапурам)</t>
        </is>
      </c>
      <c r="D591" s="3" t="inlineStr">
        <is>
          <t>University of Kerala</t>
        </is>
      </c>
      <c r="E591" s="3" t="inlineStr">
        <is>
          <t>കേരളസർവകലാശാല</t>
        </is>
      </c>
      <c r="F591" s="3" t="inlineStr">
        <is>
          <t>https://www.keralauniversity.ac.in</t>
        </is>
      </c>
      <c r="G591" s="3" t="inlineStr"/>
      <c r="H591" s="3" t="inlineStr">
        <is>
          <t>THE2027: 1401–1600</t>
        </is>
      </c>
      <c r="I591" s="3" t="inlineStr">
        <is>
          <t>NIRF2025 University: 25</t>
        </is>
      </c>
      <c r="J591" s="4" t="inlineStr">
        <is>
          <t>не в рейтинге</t>
        </is>
      </c>
      <c r="K591" s="4" t="inlineStr">
        <is>
          <t>1401–1600</t>
        </is>
      </c>
      <c r="L591" s="4" t="inlineStr">
        <is>
          <t>нет в опубл. списке (опубликован только топ-15 страны)</t>
        </is>
      </c>
      <c r="M591" s="4" t="inlineStr">
        <is>
          <t>NIRF 2025 (Overall)</t>
        </is>
      </c>
      <c r="N591" s="4" t="inlineStr">
        <is>
          <t>42</t>
        </is>
      </c>
      <c r="O591" s="4" t="inlineStr">
        <is>
          <t>https://www.timeshighereducation.com/world-university-rankings/2027/world-ranking
https://www.nirfindia.org/Rankings/2025/OverallRanking.html</t>
        </is>
      </c>
      <c r="P591" s="4" t="inlineStr">
        <is>
          <t>NIRF 2025, другие категории: University 25</t>
        </is>
      </c>
    </row>
    <row r="592">
      <c r="A592" s="3" t="inlineStr">
        <is>
          <t>India|University of Lucknow</t>
        </is>
      </c>
      <c r="B592" s="3" t="inlineStr">
        <is>
          <t>India</t>
        </is>
      </c>
      <c r="C592" s="3" t="inlineStr">
        <is>
          <t>Лакхнау</t>
        </is>
      </c>
      <c r="D592" s="3" t="inlineStr">
        <is>
          <t>University of Lucknow</t>
        </is>
      </c>
      <c r="E592" s="3" t="inlineStr">
        <is>
          <t>लखनऊ विश्वविद्यालय</t>
        </is>
      </c>
      <c r="F592" s="3" t="inlineStr">
        <is>
          <t>https://www.lkouniv.ac.in</t>
        </is>
      </c>
      <c r="G592" s="3" t="inlineStr"/>
      <c r="H592" s="3" t="inlineStr">
        <is>
          <t>THE2027: 1801-2000</t>
        </is>
      </c>
      <c r="I592" s="3" t="inlineStr">
        <is>
          <t>NIRF2025 University: 98</t>
        </is>
      </c>
      <c r="J592" s="4" t="inlineStr">
        <is>
          <t>не в рейтинге</t>
        </is>
      </c>
      <c r="K592" s="4" t="inlineStr">
        <is>
          <t>1801–2000</t>
        </is>
      </c>
      <c r="L592" s="4" t="inlineStr">
        <is>
          <t>нет в опубл. списке (опубликован только топ-15 страны)</t>
        </is>
      </c>
      <c r="M592" s="4" t="inlineStr">
        <is>
          <t>NIRF 2025 (Overall)</t>
        </is>
      </c>
      <c r="N592" s="4" t="inlineStr">
        <is>
          <t>151–200</t>
        </is>
      </c>
      <c r="O592" s="4" t="inlineStr">
        <is>
          <t>https://www.timeshighereducation.com/world-university-rankings/2027/world-ranking
https://www.nirfindia.org/Rankings/2025/OverallRanking200.html</t>
        </is>
      </c>
      <c r="P592" s="4" t="inlineStr">
        <is>
          <t>NIRF 2025, другие категории: University 98, Management 100, Law 29</t>
        </is>
      </c>
    </row>
    <row r="593">
      <c r="A593" s="3" t="inlineStr">
        <is>
          <t>India|University of Madras</t>
        </is>
      </c>
      <c r="B593" s="3" t="inlineStr">
        <is>
          <t>India</t>
        </is>
      </c>
      <c r="C593" s="3" t="inlineStr">
        <is>
          <t>Ченнаи</t>
        </is>
      </c>
      <c r="D593" s="3" t="inlineStr">
        <is>
          <t>University of Madras</t>
        </is>
      </c>
      <c r="E593" s="3" t="inlineStr">
        <is>
          <t>சென்னைப் பல்கலைக்கழகம்</t>
        </is>
      </c>
      <c r="F593" s="3" t="inlineStr">
        <is>
          <t>https://www.unom.ac.in</t>
        </is>
      </c>
      <c r="G593" s="3" t="inlineStr"/>
      <c r="H593" s="3" t="inlineStr"/>
      <c r="I593" s="3" t="inlineStr">
        <is>
          <t>NIRF2025 University: 38</t>
        </is>
      </c>
      <c r="J593" s="4" t="inlineStr">
        <is>
          <t>не в рейтинге</t>
        </is>
      </c>
      <c r="K593" s="4" t="inlineStr">
        <is>
          <t>не в рейтинге</t>
        </is>
      </c>
      <c r="L593" s="4" t="inlineStr">
        <is>
          <t>нет в опубл. списке (опубликован только топ-15 страны)</t>
        </is>
      </c>
      <c r="M593" s="4" t="inlineStr">
        <is>
          <t>NIRF 2025 (Overall)</t>
        </is>
      </c>
      <c r="N593" s="4" t="inlineStr">
        <is>
          <t>68</t>
        </is>
      </c>
      <c r="O593" s="4" t="inlineStr">
        <is>
          <t>https://www.nirfindia.org/Rankings/2025/OverallRanking.html</t>
        </is>
      </c>
      <c r="P593" s="4" t="inlineStr">
        <is>
          <t>NIRF 2025, другие категории: University 38</t>
        </is>
      </c>
    </row>
    <row r="594">
      <c r="A594" s="3" t="inlineStr">
        <is>
          <t>India|University of Petroleum and Energy Studies</t>
        </is>
      </c>
      <c r="B594" s="3" t="inlineStr">
        <is>
          <t>India</t>
        </is>
      </c>
      <c r="C594" s="3" t="inlineStr">
        <is>
          <t>Дехрадун</t>
        </is>
      </c>
      <c r="D594" s="3" t="inlineStr">
        <is>
          <t>University of Petroleum and Energy Studies</t>
        </is>
      </c>
      <c r="E594" s="3" t="inlineStr">
        <is>
          <t>UPES / पेट्रोलियम एवं ऊर्जा अध्ययन विश्वविद्यालय</t>
        </is>
      </c>
      <c r="F594" s="3" t="inlineStr">
        <is>
          <t>https://www.upes.ac.in</t>
        </is>
      </c>
      <c r="G594" s="3" t="inlineStr">
        <is>
          <t>QS2027: 901-950</t>
        </is>
      </c>
      <c r="H594" s="3" t="inlineStr">
        <is>
          <t>THE2027: 601–650</t>
        </is>
      </c>
      <c r="I594" s="3" t="inlineStr"/>
      <c r="J594" s="4" t="inlineStr">
        <is>
          <t>901–950</t>
        </is>
      </c>
      <c r="K594" s="4" t="inlineStr">
        <is>
          <t>601–650</t>
        </is>
      </c>
      <c r="L594" s="4" t="inlineStr">
        <is>
          <t>нет в опубл. списке (опубликован только топ-15 страны)</t>
        </is>
      </c>
      <c r="M594" s="4" t="inlineStr">
        <is>
          <t>NIRF 2025 (Overall)</t>
        </is>
      </c>
      <c r="N594" s="4" t="inlineStr">
        <is>
          <t>64</t>
        </is>
      </c>
      <c r="O594" s="4" t="inlineStr">
        <is>
          <t>https://www.topuniversities.com/world-university-rankings (QS WUR 2027)
https://www.timeshighereducation.com/world-university-rankings/2027/world-ranking
https://www.nirfindia.org/Rankings/2025/OverallRanking.html</t>
        </is>
      </c>
      <c r="P594" s="4" t="inlineStr">
        <is>
          <t>NIRF 2025, другие категории: University 45, Engineering 43, Research 45, Management 36, Law 18</t>
        </is>
      </c>
    </row>
    <row r="595">
      <c r="A595" s="3" t="inlineStr">
        <is>
          <t>India|Vel Tech Rangarajan Dr. Sagunthala R &amp; D Institute of Science and Technology</t>
        </is>
      </c>
      <c r="B595" s="3" t="inlineStr">
        <is>
          <t>India</t>
        </is>
      </c>
      <c r="C595" s="3" t="inlineStr">
        <is>
          <t>Ченнаи</t>
        </is>
      </c>
      <c r="D595" s="3" t="inlineStr">
        <is>
          <t>Vel Tech Rangarajan Dr. Sagunthala R &amp; D Institute of Science and Technology</t>
        </is>
      </c>
      <c r="E595" s="3" t="inlineStr">
        <is>
          <t>Vel Tech Rangarajan Dr. Sagunthala R&amp;D Institute of Science and Technology (Deemed to be University)</t>
        </is>
      </c>
      <c r="F595" s="3" t="inlineStr">
        <is>
          <t>https://www.veltech.edu.in</t>
        </is>
      </c>
      <c r="G595" s="3" t="inlineStr"/>
      <c r="H595" s="3" t="inlineStr">
        <is>
          <t>THE2027: 801–1000</t>
        </is>
      </c>
      <c r="I595" s="3" t="inlineStr">
        <is>
          <t>NIRF2025 Engineering: 87</t>
        </is>
      </c>
      <c r="J595" s="4" t="inlineStr">
        <is>
          <t>не в рейтинге</t>
        </is>
      </c>
      <c r="K595" s="4" t="inlineStr">
        <is>
          <t>801–1000</t>
        </is>
      </c>
      <c r="L595" s="4" t="inlineStr">
        <is>
          <t>нет в опубл. списке (опубликован только топ-15 страны)</t>
        </is>
      </c>
      <c r="M595" s="4" t="inlineStr">
        <is>
          <t>NIRF 2025 (Overall)</t>
        </is>
      </c>
      <c r="N595" s="4" t="inlineStr">
        <is>
          <t>151–200</t>
        </is>
      </c>
      <c r="O595" s="4" t="inlineStr">
        <is>
          <t>https://www.timeshighereducation.com/world-university-rankings/2027/world-ranking
https://www.nirfindia.org/Rankings/2025/OverallRanking200.html</t>
        </is>
      </c>
      <c r="P595" s="4" t="inlineStr">
        <is>
          <t>THE: в таблице как «Veltech University»; NIRF 2025, другие категории: University 101–150, Engineering 87</t>
        </is>
      </c>
    </row>
    <row r="596">
      <c r="A596" s="3" t="inlineStr">
        <is>
          <t>India|Vellore Institute of Technology (VIT)</t>
        </is>
      </c>
      <c r="B596" s="3" t="inlineStr">
        <is>
          <t>India</t>
        </is>
      </c>
      <c r="C596" s="3" t="inlineStr">
        <is>
          <t>Веллор</t>
        </is>
      </c>
      <c r="D596" s="3" t="inlineStr">
        <is>
          <t>Vellore Institute of Technology (VIT)</t>
        </is>
      </c>
      <c r="E596" s="3" t="inlineStr">
        <is>
          <t>வேலூர் தொழில்நுட்ப நிறுவனம்</t>
        </is>
      </c>
      <c r="F596" s="3" t="inlineStr">
        <is>
          <t>https://vit.ac.in</t>
        </is>
      </c>
      <c r="G596" s="3" t="inlineStr">
        <is>
          <t>QS2027: 597</t>
        </is>
      </c>
      <c r="H596" s="3" t="inlineStr"/>
      <c r="I596" s="3" t="inlineStr">
        <is>
          <t>NIRF2025 University: 14</t>
        </is>
      </c>
      <c r="J596" s="4">
        <f>597</f>
        <v/>
      </c>
      <c r="K596" s="4" t="inlineStr">
        <is>
          <t>не в рейтинге</t>
        </is>
      </c>
      <c r="L596" s="4" t="inlineStr">
        <is>
          <t>522</t>
        </is>
      </c>
      <c r="M596" s="4" t="inlineStr">
        <is>
          <t>NIRF 2025 (Overall)</t>
        </is>
      </c>
      <c r="N596" s="4" t="inlineStr">
        <is>
          <t>21</t>
        </is>
      </c>
      <c r="O596" s="4" t="inlineStr">
        <is>
          <t>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P596" s="4" t="inlineStr">
        <is>
          <t>QS: в таблице как «Vellore Institute of Technology (VIT), Vellore, India»; NIRF 2025, другие категории: University 14, Engineering 16, Research 14</t>
        </is>
      </c>
    </row>
    <row r="597">
      <c r="A597" s="3" t="inlineStr">
        <is>
          <t>India|Vemana Institute of Technology</t>
        </is>
      </c>
      <c r="B597" s="3" t="inlineStr">
        <is>
          <t>India</t>
        </is>
      </c>
      <c r="C597" s="3" t="inlineStr">
        <is>
          <t>Бангалор</t>
        </is>
      </c>
      <c r="D597" s="3" t="inlineStr">
        <is>
          <t>Vemana Institute of Technology</t>
        </is>
      </c>
      <c r="E597" s="3" t="inlineStr"/>
      <c r="F597" s="3" t="inlineStr">
        <is>
          <t>https://vemanait.edu.in</t>
        </is>
      </c>
      <c r="G597" s="3" t="inlineStr"/>
      <c r="H597" s="3" t="inlineStr"/>
      <c r="I597" s="3" t="inlineStr"/>
      <c r="J597" s="4" t="inlineStr">
        <is>
          <t>не в рейтинге</t>
        </is>
      </c>
      <c r="K597" s="4" t="inlineStr">
        <is>
          <t>не в рейтинге</t>
        </is>
      </c>
      <c r="L597" s="4" t="inlineStr">
        <is>
          <t>нет в опубл. списке (опубликован только топ-15 страны)</t>
        </is>
      </c>
      <c r="M597" s="4" t="inlineStr">
        <is>
          <t>NIRF 2025</t>
        </is>
      </c>
      <c r="N597" s="4" t="inlineStr">
        <is>
          <t>не в рейтинге</t>
        </is>
      </c>
      <c r="O597" s="4" t="inlineStr">
        <is>
          <t>https://www.nirfindia.org/Rankings/2025/Ranking.html</t>
        </is>
      </c>
      <c r="P597" s="4" t="n"/>
    </row>
    <row r="598">
      <c r="A598" s="3" t="inlineStr">
        <is>
          <t>India|Vignan's Foundation for Science, Technology and Research</t>
        </is>
      </c>
      <c r="B598" s="3" t="inlineStr">
        <is>
          <t>India</t>
        </is>
      </c>
      <c r="C598" s="3" t="inlineStr">
        <is>
          <t>Гунтур</t>
        </is>
      </c>
      <c r="D598" s="3" t="inlineStr">
        <is>
          <t>Vignan's Foundation for Science, Technology and Research</t>
        </is>
      </c>
      <c r="E598" s="3" t="inlineStr">
        <is>
          <t>విజ్ఞాన్ శాస్త్ర సాంకేతిక పరిశోధనా సంస్థ</t>
        </is>
      </c>
      <c r="F598" s="3" t="inlineStr">
        <is>
          <t>https://vignan.ac.in</t>
        </is>
      </c>
      <c r="G598" s="3" t="inlineStr"/>
      <c r="H598" s="3" t="inlineStr">
        <is>
          <t>THE2027: 1801-2000</t>
        </is>
      </c>
      <c r="I598" s="3" t="inlineStr">
        <is>
          <t>NIRF2025 University: 70</t>
        </is>
      </c>
      <c r="J598" s="4" t="inlineStr">
        <is>
          <t>не в рейтинге</t>
        </is>
      </c>
      <c r="K598" s="4" t="inlineStr">
        <is>
          <t>1801–2000</t>
        </is>
      </c>
      <c r="L598" s="4" t="inlineStr">
        <is>
          <t>нет в опубл. списке (опубликован только топ-15 страны)</t>
        </is>
      </c>
      <c r="M598" s="4" t="inlineStr">
        <is>
          <t>NIRF 2025 (Overall)</t>
        </is>
      </c>
      <c r="N598" s="4" t="inlineStr">
        <is>
          <t>101–150</t>
        </is>
      </c>
      <c r="O598" s="4" t="inlineStr">
        <is>
          <t>https://www.timeshighereducation.com/world-university-rankings/2027/world-ranking
https://www.nirfindia.org/Rankings/2025/OverallRanking150.html</t>
        </is>
      </c>
      <c r="P598" s="4" t="inlineStr">
        <is>
          <t>NIRF 2025, другие категории: University 70, Engineering 80, Management 101–150</t>
        </is>
      </c>
    </row>
    <row r="599">
      <c r="A599" s="3" t="inlineStr">
        <is>
          <t>India|Visvesvaraya National Institute of Technology (VNIT), Nagpur</t>
        </is>
      </c>
      <c r="B599" s="3" t="inlineStr">
        <is>
          <t>India</t>
        </is>
      </c>
      <c r="C599" s="3" t="inlineStr">
        <is>
          <t>Нагпур</t>
        </is>
      </c>
      <c r="D599" s="3" t="inlineStr">
        <is>
          <t>Visvesvaraya National Institute of Technology (VNIT), Nagpur</t>
        </is>
      </c>
      <c r="E599" s="3" t="inlineStr">
        <is>
          <t>विश्वेश्वरय्या राष्ट्रीय प्रौद्योगिकी संस्थान, नागपुर</t>
        </is>
      </c>
      <c r="F599" s="3" t="inlineStr">
        <is>
          <t>https://vnit.ac.in</t>
        </is>
      </c>
      <c r="G599" s="3" t="inlineStr"/>
      <c r="H599" s="3" t="inlineStr">
        <is>
          <t>THE2027: 1401–1600</t>
        </is>
      </c>
      <c r="I599" s="3" t="inlineStr">
        <is>
          <t>NIRF2025 Engineering: 44</t>
        </is>
      </c>
      <c r="J599" s="4" t="inlineStr">
        <is>
          <t>не в рейтинге</t>
        </is>
      </c>
      <c r="K599" s="4" t="inlineStr">
        <is>
          <t>1401–1600</t>
        </is>
      </c>
      <c r="L599" s="4" t="inlineStr">
        <is>
          <t>нет в опубл. списке (опубликован только топ-15 страны)</t>
        </is>
      </c>
      <c r="M599" s="4" t="inlineStr">
        <is>
          <t>NIRF 2025 (Overall)</t>
        </is>
      </c>
      <c r="N599" s="4" t="inlineStr">
        <is>
          <t>86</t>
        </is>
      </c>
      <c r="O599" s="4" t="inlineStr">
        <is>
          <t>https://www.timeshighereducation.com/world-university-rankings/2027/world-ranking
https://www.nirfindia.org/Rankings/2025/OverallRanking.html</t>
        </is>
      </c>
      <c r="P599" s="4" t="inlineStr">
        <is>
          <t>NIRF 2025, другие категории: Engineering 44, Architecture 10</t>
        </is>
      </c>
    </row>
    <row r="600">
      <c r="A600" s="3" t="inlineStr">
        <is>
          <t>Indonesia|Atma Jaya Catholic University of Indonesia</t>
        </is>
      </c>
      <c r="B600" s="3" t="inlineStr">
        <is>
          <t>Indonesia</t>
        </is>
      </c>
      <c r="C600" s="3" t="inlineStr">
        <is>
          <t>Джакарта</t>
        </is>
      </c>
      <c r="D600" s="3" t="inlineStr">
        <is>
          <t>Atma Jaya Catholic University of Indonesia</t>
        </is>
      </c>
      <c r="E600" s="3" t="inlineStr">
        <is>
          <t>Universitas Katolik Indonesia Atma Jaya</t>
        </is>
      </c>
      <c r="F600" s="3" t="inlineStr">
        <is>
          <t>https://www.atmajaya.ac.id</t>
        </is>
      </c>
      <c r="G600" s="3" t="inlineStr"/>
      <c r="H600" s="3" t="inlineStr">
        <is>
          <t>THE2027: 1801–2000</t>
        </is>
      </c>
      <c r="I600" s="3" t="inlineStr"/>
      <c r="J600" s="4" t="inlineStr">
        <is>
          <t>не в рейтинге</t>
        </is>
      </c>
      <c r="K600" s="4" t="inlineStr">
        <is>
          <t>1801–2000</t>
        </is>
      </c>
      <c r="L600" s="4" t="inlineStr">
        <is>
          <t>нет в опубл. списке (опубликован только топ-15 страны)</t>
        </is>
      </c>
      <c r="M600" s="4" t="inlineStr">
        <is>
          <t>SINTA Affiliations (сортировка по умолчанию: SINTA Score 3Yr), 2026</t>
        </is>
      </c>
      <c r="N600" s="4" t="inlineStr">
        <is>
          <t>105</t>
        </is>
      </c>
      <c r="O600" s="4" t="inlineStr">
        <is>
          <t>https://www.timeshighereducation.com/world-university-rankings/2027/world-ranking
https://sinta.kemdiktisaintek.go.id/affiliations/profile/409</t>
        </is>
      </c>
      <c r="P60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133.211, Overall 364.304; SINTA ID 409.</t>
        </is>
      </c>
    </row>
    <row r="601">
      <c r="A601" s="3" t="inlineStr">
        <is>
          <t>Indonesia|Atma Jaya Yogyakarta University (UAJY)</t>
        </is>
      </c>
      <c r="B601" s="3" t="inlineStr">
        <is>
          <t>Indonesia</t>
        </is>
      </c>
      <c r="C601" s="3" t="inlineStr">
        <is>
          <t>Джокьякарта</t>
        </is>
      </c>
      <c r="D601" s="3" t="inlineStr">
        <is>
          <t>Atma Jaya Yogyakarta University (UAJY)</t>
        </is>
      </c>
      <c r="E601" s="3" t="inlineStr">
        <is>
          <t>Universitas Atma Jaya Yogyakarta</t>
        </is>
      </c>
      <c r="F601" s="3" t="inlineStr">
        <is>
          <t>https://uajy.ac.id</t>
        </is>
      </c>
      <c r="G601" s="3" t="inlineStr"/>
      <c r="H601" s="3" t="inlineStr">
        <is>
          <t>THE2027 Reporter (unranked)</t>
        </is>
      </c>
      <c r="I601" s="3" t="inlineStr"/>
      <c r="J601" s="4" t="inlineStr">
        <is>
          <t>не в рейтинге</t>
        </is>
      </c>
      <c r="K601" s="4" t="inlineStr">
        <is>
          <t>Reporter</t>
        </is>
      </c>
      <c r="L601" s="4" t="inlineStr">
        <is>
          <t>нет в опубл. списке (опубликован только топ-15 страны)</t>
        </is>
      </c>
      <c r="M601" s="4" t="inlineStr">
        <is>
          <t>SINTA Affiliations (сортировка по умолчанию: SINTA Score 3Yr), 2026</t>
        </is>
      </c>
      <c r="N601" s="4" t="inlineStr">
        <is>
          <t>220</t>
        </is>
      </c>
      <c r="O601" s="4" t="inlineStr">
        <is>
          <t>https://www.timeshighereducation.com/world-university-rankings/2027/world-ranking
https://sinta.kemdiktisaintek.go.id/affiliations/profile/397</t>
        </is>
      </c>
      <c r="P60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57.326, Overall 152.171; SINTA ID 397.</t>
        </is>
      </c>
    </row>
    <row r="602">
      <c r="A602" s="3" t="inlineStr">
        <is>
          <t>Indonesia|Bakrie University</t>
        </is>
      </c>
      <c r="B602" s="3" t="inlineStr">
        <is>
          <t>Indonesia</t>
        </is>
      </c>
      <c r="C602" s="3" t="inlineStr">
        <is>
          <t>Джакарта</t>
        </is>
      </c>
      <c r="D602" s="3" t="inlineStr">
        <is>
          <t>Bakrie University</t>
        </is>
      </c>
      <c r="E602" s="3" t="inlineStr">
        <is>
          <t>Universitas Bakrie</t>
        </is>
      </c>
      <c r="F602" s="3" t="inlineStr">
        <is>
          <t>https://bakrieuniversity.ac.id</t>
        </is>
      </c>
      <c r="G602" s="3" t="inlineStr"/>
      <c r="H602" s="3" t="inlineStr"/>
      <c r="I602" s="3" t="inlineStr"/>
      <c r="J602" s="4" t="inlineStr">
        <is>
          <t>не в рейтинге</t>
        </is>
      </c>
      <c r="K602" s="4" t="inlineStr">
        <is>
          <t>Reporter</t>
        </is>
      </c>
      <c r="L602" s="4" t="inlineStr">
        <is>
          <t>нет в опубл. списке (опубликован только топ-15 страны)</t>
        </is>
      </c>
      <c r="M602" s="4" t="inlineStr">
        <is>
          <t>SINTA Affiliations (сортировка по умолчанию: SINTA Score 3Yr), 2026</t>
        </is>
      </c>
      <c r="N602" s="4" t="inlineStr">
        <is>
          <t>304</t>
        </is>
      </c>
      <c r="O602" s="4" t="inlineStr">
        <is>
          <t>https://www.timeshighereducation.com/world-university-rankings/2027/world-ranking
https://sinta.kemdiktisaintek.go.id/affiliations/profile/1099</t>
        </is>
      </c>
      <c r="P60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40.164, Overall 98.815; SINTA ID 1099.</t>
        </is>
      </c>
    </row>
    <row r="603">
      <c r="A603" s="3" t="inlineStr">
        <is>
          <t>Indonesia|Bandung Institute of Technology (ITB)</t>
        </is>
      </c>
      <c r="B603" s="3" t="inlineStr">
        <is>
          <t>Indonesia</t>
        </is>
      </c>
      <c r="C603" s="3" t="inlineStr">
        <is>
          <t>Бандунг</t>
        </is>
      </c>
      <c r="D603" s="3" t="inlineStr">
        <is>
          <t>Bandung Institute of Technology (ITB)</t>
        </is>
      </c>
      <c r="E603" s="3" t="inlineStr">
        <is>
          <t>Institut Teknologi Bandung</t>
        </is>
      </c>
      <c r="F603" s="3" t="inlineStr">
        <is>
          <t>https://www.itb.ac.id</t>
        </is>
      </c>
      <c r="G603" s="3" t="inlineStr">
        <is>
          <t>QS2027: 287</t>
        </is>
      </c>
      <c r="H603" s="3" t="inlineStr">
        <is>
          <t>THE2027: 1401–1600</t>
        </is>
      </c>
      <c r="I603" s="3" t="inlineStr"/>
      <c r="J603" s="4" t="inlineStr">
        <is>
          <t>287</t>
        </is>
      </c>
      <c r="K603" s="4" t="inlineStr">
        <is>
          <t>1401–1600</t>
        </is>
      </c>
      <c r="L603" s="4" t="inlineStr">
        <is>
          <t>нет в опубл. списке (опубликован только топ-15 страны)</t>
        </is>
      </c>
      <c r="M603" s="4" t="inlineStr">
        <is>
          <t>SINTA Affiliations (сортировка по умолчанию: SINTA Score 3Yr), 2026</t>
        </is>
      </c>
      <c r="N603" s="4" t="inlineStr">
        <is>
          <t>9</t>
        </is>
      </c>
      <c r="O603" s="4" t="inlineStr">
        <is>
          <t>https://www.topuniversities.com/world-university-rankings (QS WUR 2027)
https://www.timeshighereducation.com/world-university-rankings/2027/world-ranking
https://sinta.kemdiktisaintek.go.id/affiliations/profile/379</t>
        </is>
      </c>
      <c r="P60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877.118, Overall 3.062.041; SINTA ID 379.</t>
        </is>
      </c>
    </row>
    <row r="604">
      <c r="A604" s="3" t="inlineStr">
        <is>
          <t>Indonesia|Bandung State Polytechnic (Politeknik Negeri Bandung, POLBAN)</t>
        </is>
      </c>
      <c r="B604" s="3" t="inlineStr">
        <is>
          <t>Indonesia</t>
        </is>
      </c>
      <c r="C604" s="3" t="inlineStr">
        <is>
          <t>Бандунг (Западный Бандунг)</t>
        </is>
      </c>
      <c r="D604" s="3" t="inlineStr">
        <is>
          <t>Bandung State Polytechnic (Politeknik Negeri Bandung, POLBAN)</t>
        </is>
      </c>
      <c r="E604" s="3" t="inlineStr">
        <is>
          <t>Politeknik Negeri Bandung</t>
        </is>
      </c>
      <c r="F604" s="3" t="inlineStr">
        <is>
          <t>https://www.polban.ac.id</t>
        </is>
      </c>
      <c r="G604" s="3" t="inlineStr"/>
      <c r="H604" s="3" t="inlineStr"/>
      <c r="I604" s="3" t="inlineStr"/>
      <c r="J604" s="4" t="inlineStr">
        <is>
          <t>не в рейтинге</t>
        </is>
      </c>
      <c r="K604" s="4" t="inlineStr">
        <is>
          <t>не в рейтинге</t>
        </is>
      </c>
      <c r="L604" s="4" t="inlineStr">
        <is>
          <t>нет в опубл. списке (опубликован только топ-15 страны)</t>
        </is>
      </c>
      <c r="M604" s="4" t="inlineStr">
        <is>
          <t>SINTA Affiliations (сортировка по умолчанию: SINTA Score 3Yr), 2026</t>
        </is>
      </c>
      <c r="N604" s="4" t="inlineStr">
        <is>
          <t>99</t>
        </is>
      </c>
      <c r="O604" s="4" t="inlineStr">
        <is>
          <t>https://sinta.kemdiktisaintek.go.id/affiliations/profile/541</t>
        </is>
      </c>
      <c r="P60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152.083, Overall 334.179; SINTA ID 541.</t>
        </is>
      </c>
    </row>
    <row r="605">
      <c r="A605" s="3" t="inlineStr">
        <is>
          <t>Indonesia|Bina Nusantara University (BINUS University)</t>
        </is>
      </c>
      <c r="B605" s="3" t="inlineStr">
        <is>
          <t>Indonesia</t>
        </is>
      </c>
      <c r="C605" s="3" t="inlineStr">
        <is>
          <t>Джакарта</t>
        </is>
      </c>
      <c r="D605" s="3" t="inlineStr">
        <is>
          <t>Bina Nusantara University (BINUS University)</t>
        </is>
      </c>
      <c r="E605" s="3" t="inlineStr">
        <is>
          <t>Universitas Bina Nusantara</t>
        </is>
      </c>
      <c r="F605" s="3" t="inlineStr">
        <is>
          <t>https://binus.ac.id</t>
        </is>
      </c>
      <c r="G605" s="3" t="inlineStr">
        <is>
          <t>QS2027: 901–950</t>
        </is>
      </c>
      <c r="H605" s="3" t="inlineStr">
        <is>
          <t>THE2027: 1401–1600</t>
        </is>
      </c>
      <c r="I605" s="3" t="inlineStr"/>
      <c r="J605" s="4" t="inlineStr">
        <is>
          <t>901–950</t>
        </is>
      </c>
      <c r="K605" s="4" t="inlineStr">
        <is>
          <t>1401–1600</t>
        </is>
      </c>
      <c r="L605" s="4" t="inlineStr">
        <is>
          <t>1392</t>
        </is>
      </c>
      <c r="M605" s="4" t="inlineStr">
        <is>
          <t>SINTA Affiliations (сортировка по умолчанию: SINTA Score 3Yr), 2026</t>
        </is>
      </c>
      <c r="N605" s="4" t="inlineStr">
        <is>
          <t>10</t>
        </is>
      </c>
      <c r="O60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https://sinta.kemdiktisaintek.go.id/affiliations/profile/388</t>
        </is>
      </c>
      <c r="P605" s="4" t="inlineStr">
        <is>
          <t>THE: в таблице как «BINUS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873.292, Overall 1.879.992; SINTA ID 388.</t>
        </is>
      </c>
    </row>
    <row r="606">
      <c r="A606" s="3" t="inlineStr">
        <is>
          <t>Indonesia|Cenderawasih University (UNCEN)</t>
        </is>
      </c>
      <c r="B606" s="3" t="inlineStr">
        <is>
          <t>Indonesia</t>
        </is>
      </c>
      <c r="C606" s="3" t="inlineStr">
        <is>
          <t>Джаяпура (Папуа)</t>
        </is>
      </c>
      <c r="D606" s="3" t="inlineStr">
        <is>
          <t>Cenderawasih University (UNCEN)</t>
        </is>
      </c>
      <c r="E606" s="3" t="inlineStr">
        <is>
          <t>Universitas Cenderawasih</t>
        </is>
      </c>
      <c r="F606" s="3" t="inlineStr">
        <is>
          <t>https://www.uncen.ac.id</t>
        </is>
      </c>
      <c r="G606" s="3" t="inlineStr"/>
      <c r="H606" s="3" t="inlineStr"/>
      <c r="I606" s="3" t="inlineStr"/>
      <c r="J606" s="4" t="inlineStr">
        <is>
          <t>не в рейтинге</t>
        </is>
      </c>
      <c r="K606" s="4" t="inlineStr">
        <is>
          <t>не в рейтинге</t>
        </is>
      </c>
      <c r="L606" s="4" t="inlineStr">
        <is>
          <t>нет в опубл. списке (опубликован только топ-15 страны)</t>
        </is>
      </c>
      <c r="M606" s="4" t="inlineStr">
        <is>
          <t>SINTA Affiliations (сортировка по умолчанию: SINTA Score 3Yr), 2026</t>
        </is>
      </c>
      <c r="N606" s="4" t="inlineStr">
        <is>
          <t>70</t>
        </is>
      </c>
      <c r="O606" s="4" t="inlineStr">
        <is>
          <t>https://sinta.kemdiktisaintek.go.id/affiliations/profile/489</t>
        </is>
      </c>
      <c r="P60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221.092, Overall 391.611; SINTA ID 489.</t>
        </is>
      </c>
    </row>
    <row r="607">
      <c r="A607" s="3" t="inlineStr">
        <is>
          <t>Indonesia|Del Institute of Technology (IT Del)</t>
        </is>
      </c>
      <c r="B607" s="3" t="inlineStr">
        <is>
          <t>Indonesia</t>
        </is>
      </c>
      <c r="C607" s="3" t="inlineStr">
        <is>
          <t>Тоба (Лагуботи, Северная Суматра)</t>
        </is>
      </c>
      <c r="D607" s="3" t="inlineStr">
        <is>
          <t>Del Institute of Technology (IT Del)</t>
        </is>
      </c>
      <c r="E607" s="3" t="inlineStr">
        <is>
          <t>Institut Teknologi Del</t>
        </is>
      </c>
      <c r="F607" s="3" t="inlineStr">
        <is>
          <t>https://www.del.ac.id</t>
        </is>
      </c>
      <c r="G607" s="3" t="inlineStr"/>
      <c r="H607" s="3" t="inlineStr"/>
      <c r="I607" s="3" t="inlineStr"/>
      <c r="J607" s="4" t="inlineStr">
        <is>
          <t>не в рейтинге</t>
        </is>
      </c>
      <c r="K607" s="4" t="inlineStr">
        <is>
          <t>не в рейтинге</t>
        </is>
      </c>
      <c r="L607" s="4" t="inlineStr">
        <is>
          <t>нет в опубл. списке (опубликован только топ-15 страны)</t>
        </is>
      </c>
      <c r="M607" s="4" t="inlineStr">
        <is>
          <t>SINTA Affiliations (сортировка по умолчанию: SINTA Score 3Yr), 2026</t>
        </is>
      </c>
      <c r="N607" s="4" t="inlineStr">
        <is>
          <t>480</t>
        </is>
      </c>
      <c r="O607" s="4" t="inlineStr">
        <is>
          <t>https://sinta.kemdiktisaintek.go.id/affiliations/profile/614</t>
        </is>
      </c>
      <c r="P60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21.474, Overall 49.181; SINTA ID 614.</t>
        </is>
      </c>
    </row>
    <row r="608">
      <c r="A608" s="3" t="inlineStr">
        <is>
          <t>Indonesia|Diponegoro University (Universitas Diponegoro, UNDIP)</t>
        </is>
      </c>
      <c r="B608" s="3" t="inlineStr">
        <is>
          <t>Indonesia</t>
        </is>
      </c>
      <c r="C608" s="3" t="inlineStr">
        <is>
          <t>Семаранг</t>
        </is>
      </c>
      <c r="D608" s="3" t="inlineStr">
        <is>
          <t>Diponegoro University (Universitas Diponegoro, UNDIP)</t>
        </is>
      </c>
      <c r="E608" s="3" t="inlineStr">
        <is>
          <t>Universitas Diponegoro</t>
        </is>
      </c>
      <c r="F608" s="3" t="inlineStr">
        <is>
          <t>https://undip.ac.id</t>
        </is>
      </c>
      <c r="G608" s="3" t="inlineStr">
        <is>
          <t>QS2027: 662</t>
        </is>
      </c>
      <c r="H608" s="3" t="inlineStr">
        <is>
          <t>THE2027: 1401–1600</t>
        </is>
      </c>
      <c r="I608" s="3" t="inlineStr"/>
      <c r="J608" s="4">
        <f>662</f>
        <v/>
      </c>
      <c r="K608" s="4" t="inlineStr">
        <is>
          <t>1401–1600</t>
        </is>
      </c>
      <c r="L608" s="4" t="inlineStr">
        <is>
          <t>1007</t>
        </is>
      </c>
      <c r="M608" s="4" t="inlineStr">
        <is>
          <t>SINTA Affiliations (сортировка по умолчанию: SINTA Score 3Yr), 2026</t>
        </is>
      </c>
      <c r="N608" s="4" t="inlineStr">
        <is>
          <t>4</t>
        </is>
      </c>
      <c r="O60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https://sinta.kemdiktisaintek.go.id/affiliations/profile/6</t>
        </is>
      </c>
      <c r="P608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1.076.062, Overall 2.707.551; SINTA ID 6.</t>
        </is>
      </c>
    </row>
    <row r="609">
      <c r="A609" s="3" t="inlineStr">
        <is>
          <t>Indonesia|Electronic Engineering Polytechnic Institute of Surabaya (PENS)</t>
        </is>
      </c>
      <c r="B609" s="3" t="inlineStr">
        <is>
          <t>Indonesia</t>
        </is>
      </c>
      <c r="C609" s="3" t="inlineStr">
        <is>
          <t>Сурабая</t>
        </is>
      </c>
      <c r="D609" s="3" t="inlineStr">
        <is>
          <t>Electronic Engineering Polytechnic Institute of Surabaya (PENS)</t>
        </is>
      </c>
      <c r="E609" s="3" t="inlineStr">
        <is>
          <t>Politeknik Elektronika Negeri Surabaya</t>
        </is>
      </c>
      <c r="F609" s="3" t="inlineStr">
        <is>
          <t>https://www.pens.ac.id</t>
        </is>
      </c>
      <c r="G609" s="3" t="inlineStr"/>
      <c r="H609" s="3" t="inlineStr"/>
      <c r="I609" s="3" t="inlineStr"/>
      <c r="J609" s="4" t="inlineStr">
        <is>
          <t>не в рейтинге</t>
        </is>
      </c>
      <c r="K609" s="4" t="inlineStr">
        <is>
          <t>не в рейтинге</t>
        </is>
      </c>
      <c r="L609" s="4" t="inlineStr">
        <is>
          <t>нет в опубл. списке (опубликован только топ-15 страны)</t>
        </is>
      </c>
      <c r="M609" s="4" t="inlineStr">
        <is>
          <t>SINTA Affiliations (сортировка по умолчанию: SINTA Score 3Yr), 2026</t>
        </is>
      </c>
      <c r="N609" s="4" t="inlineStr">
        <is>
          <t>96</t>
        </is>
      </c>
      <c r="O609" s="4" t="inlineStr">
        <is>
          <t>https://sinta.kemdiktisaintek.go.id/affiliations/profile/426</t>
        </is>
      </c>
      <c r="P609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158.127, Overall 362.629; SINTA ID 426.</t>
        </is>
      </c>
    </row>
    <row r="610">
      <c r="A610" s="3" t="inlineStr">
        <is>
          <t>Indonesia|Halu Oleo University (Universitas Halu Oleo, UHO)</t>
        </is>
      </c>
      <c r="B610" s="3" t="inlineStr">
        <is>
          <t>Indonesia</t>
        </is>
      </c>
      <c r="C610" s="3" t="inlineStr">
        <is>
          <t>Кендари</t>
        </is>
      </c>
      <c r="D610" s="3" t="inlineStr">
        <is>
          <t>Halu Oleo University (Universitas Halu Oleo, UHO)</t>
        </is>
      </c>
      <c r="E610" s="3" t="inlineStr">
        <is>
          <t>Universitas Halu Oleo</t>
        </is>
      </c>
      <c r="F610" s="3" t="inlineStr">
        <is>
          <t>https://uho.ac.id</t>
        </is>
      </c>
      <c r="G610" s="3" t="inlineStr"/>
      <c r="H610" s="3" t="inlineStr">
        <is>
          <t>THE2027: 2001+</t>
        </is>
      </c>
      <c r="I610" s="3" t="inlineStr"/>
      <c r="J610" s="4" t="inlineStr">
        <is>
          <t>не в рейтинге</t>
        </is>
      </c>
      <c r="K610" s="4" t="inlineStr">
        <is>
          <t>2001+</t>
        </is>
      </c>
      <c r="L610" s="4" t="inlineStr">
        <is>
          <t>нет в опубл. списке (опубликован только топ-15 страны)</t>
        </is>
      </c>
      <c r="M610" s="4" t="inlineStr">
        <is>
          <t>SINTA Affiliations (сортировка по умолчанию: SINTA Score 3Yr), 2026</t>
        </is>
      </c>
      <c r="N610" s="4" t="inlineStr">
        <is>
          <t>53</t>
        </is>
      </c>
      <c r="O610" s="4" t="inlineStr">
        <is>
          <t>https://www.timeshighereducation.com/world-university-rankings/2027/world-ranking
https://sinta.kemdiktisaintek.go.id/affiliations/profile/392</t>
        </is>
      </c>
      <c r="P61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300.526, Overall 756.764; SINTA ID 392.</t>
        </is>
      </c>
    </row>
    <row r="611">
      <c r="A611" s="3" t="inlineStr">
        <is>
          <t>Indonesia|Hasanuddin University (Unhas)</t>
        </is>
      </c>
      <c r="B611" s="3" t="inlineStr">
        <is>
          <t>Indonesia</t>
        </is>
      </c>
      <c r="C611" s="3" t="inlineStr">
        <is>
          <t>Макассар</t>
        </is>
      </c>
      <c r="D611" s="3" t="inlineStr">
        <is>
          <t>Hasanuddin University (Unhas)</t>
        </is>
      </c>
      <c r="E611" s="3" t="inlineStr">
        <is>
          <t>Universitas Hasanuddin</t>
        </is>
      </c>
      <c r="F611" s="3" t="inlineStr">
        <is>
          <t>https://www.unhas.ac.id</t>
        </is>
      </c>
      <c r="G611" s="3" t="inlineStr">
        <is>
          <t>QS2027: 851–900</t>
        </is>
      </c>
      <c r="H611" s="3" t="inlineStr">
        <is>
          <t>THE2027: 1801–2000</t>
        </is>
      </c>
      <c r="I611" s="3" t="inlineStr"/>
      <c r="J611" s="4" t="inlineStr">
        <is>
          <t>851–900</t>
        </is>
      </c>
      <c r="K611" s="4" t="inlineStr">
        <is>
          <t>1801–2000</t>
        </is>
      </c>
      <c r="L611" s="4" t="inlineStr">
        <is>
          <t>1239</t>
        </is>
      </c>
      <c r="M611" s="4" t="inlineStr">
        <is>
          <t>SINTA Affiliations (сортировка по умолчанию: SINTA Score 3Yr), 2026</t>
        </is>
      </c>
      <c r="N611" s="4" t="inlineStr">
        <is>
          <t>13</t>
        </is>
      </c>
      <c r="O61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https://sinta.kemdiktisaintek.go.id/affiliations/profile/385</t>
        </is>
      </c>
      <c r="P61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819.925, Overall 2.066.537; SINTA ID 385.</t>
        </is>
      </c>
    </row>
    <row r="612">
      <c r="A612" s="3" t="inlineStr">
        <is>
          <t>Indonesia|IPB University (Bogor Agricultural University)</t>
        </is>
      </c>
      <c r="B612" s="3" t="inlineStr">
        <is>
          <t>Indonesia</t>
        </is>
      </c>
      <c r="C612" s="3" t="inlineStr">
        <is>
          <t>Богор</t>
        </is>
      </c>
      <c r="D612" s="3" t="inlineStr">
        <is>
          <t>IPB University (Bogor Agricultural University)</t>
        </is>
      </c>
      <c r="E612" s="3" t="inlineStr">
        <is>
          <t>Institut Pertanian Bogor</t>
        </is>
      </c>
      <c r="F612" s="3" t="inlineStr">
        <is>
          <t>https://www.ipb.ac.id</t>
        </is>
      </c>
      <c r="G612" s="3" t="inlineStr">
        <is>
          <t>QS2027: 419</t>
        </is>
      </c>
      <c r="H612" s="3" t="inlineStr">
        <is>
          <t>THE2027: 1401–1600</t>
        </is>
      </c>
      <c r="I612" s="3" t="inlineStr"/>
      <c r="J612" s="4">
        <f>419</f>
        <v/>
      </c>
      <c r="K612" s="4" t="inlineStr">
        <is>
          <t>1401–1600</t>
        </is>
      </c>
      <c r="L612" s="4" t="inlineStr">
        <is>
          <t>1017</t>
        </is>
      </c>
      <c r="M612" s="4" t="inlineStr">
        <is>
          <t>SINTA Affiliations (сортировка по умолчанию: SINTA Score 3Yr), 2026</t>
        </is>
      </c>
      <c r="N612" s="4" t="inlineStr">
        <is>
          <t>3</t>
        </is>
      </c>
      <c r="O61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https://sinta.kemdiktisaintek.go.id/affiliations/profile/428</t>
        </is>
      </c>
      <c r="P61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1.210.170, Overall 3.739.486; SINTA ID 428.</t>
        </is>
      </c>
    </row>
    <row r="613">
      <c r="A613" s="3" t="inlineStr">
        <is>
          <t>Indonesia|Indonesia Computer University (UNIKOM)</t>
        </is>
      </c>
      <c r="B613" s="3" t="inlineStr">
        <is>
          <t>Indonesia</t>
        </is>
      </c>
      <c r="C613" s="3" t="inlineStr">
        <is>
          <t>Бандунг</t>
        </is>
      </c>
      <c r="D613" s="3" t="inlineStr">
        <is>
          <t>Indonesia Computer University (UNIKOM)</t>
        </is>
      </c>
      <c r="E613" s="3" t="inlineStr">
        <is>
          <t>Universitas Komputer Indonesia</t>
        </is>
      </c>
      <c r="F613" s="3" t="inlineStr">
        <is>
          <t>https://unikom.ac.id</t>
        </is>
      </c>
      <c r="G613" s="3" t="inlineStr"/>
      <c r="H613" s="3" t="inlineStr"/>
      <c r="I613" s="3" t="inlineStr"/>
      <c r="J613" s="4" t="inlineStr">
        <is>
          <t>не в рейтинге</t>
        </is>
      </c>
      <c r="K613" s="4" t="inlineStr">
        <is>
          <t>Reporter</t>
        </is>
      </c>
      <c r="L613" s="4" t="inlineStr">
        <is>
          <t>нет в опубл. списке (опубликован только топ-15 страны)</t>
        </is>
      </c>
      <c r="M613" s="4" t="inlineStr">
        <is>
          <t>SINTA Affiliations (сортировка по умолчанию: SINTA Score 3Yr), 2026</t>
        </is>
      </c>
      <c r="N613" s="4" t="inlineStr">
        <is>
          <t>194</t>
        </is>
      </c>
      <c r="O613" s="4" t="inlineStr">
        <is>
          <t>https://www.timeshighereducation.com/world-university-rankings/2027/world-ranking
https://sinta.kemdiktisaintek.go.id/affiliations/profile/528</t>
        </is>
      </c>
      <c r="P61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65.978, Overall 202.750; SINTA ID 528.</t>
        </is>
      </c>
    </row>
    <row r="614">
      <c r="A614" s="3" t="inlineStr">
        <is>
          <t>Indonesia|Institut Pendidikan Indonesia Garut (IPI Garut)</t>
        </is>
      </c>
      <c r="B614" s="3" t="inlineStr">
        <is>
          <t>Indonesia</t>
        </is>
      </c>
      <c r="C614" s="3" t="inlineStr">
        <is>
          <t>Гарут (Западная Ява)</t>
        </is>
      </c>
      <c r="D614" s="3" t="inlineStr">
        <is>
          <t>Institut Pendidikan Indonesia Garut (IPI Garut)</t>
        </is>
      </c>
      <c r="E614" s="3" t="inlineStr">
        <is>
          <t>Institut Pendidikan Indonesia Garut</t>
        </is>
      </c>
      <c r="F614" s="3" t="inlineStr">
        <is>
          <t>https://institutpendidikan.ac.id</t>
        </is>
      </c>
      <c r="G614" s="3" t="inlineStr"/>
      <c r="H614" s="3" t="inlineStr">
        <is>
          <t>THE2027 Reporter (unranked)</t>
        </is>
      </c>
      <c r="I614" s="3" t="inlineStr"/>
      <c r="J614" s="4" t="inlineStr">
        <is>
          <t>не в рейтинге</t>
        </is>
      </c>
      <c r="K614" s="4" t="inlineStr">
        <is>
          <t>Reporter</t>
        </is>
      </c>
      <c r="L614" s="4" t="inlineStr">
        <is>
          <t>нет в опубл. списке (опубликован только топ-15 страны)</t>
        </is>
      </c>
      <c r="M614" s="4" t="inlineStr">
        <is>
          <t>SINTA Affiliations (сортировка по умолчанию: SINTA Score 3Yr), 2026</t>
        </is>
      </c>
      <c r="N614" s="4" t="inlineStr">
        <is>
          <t>152</t>
        </is>
      </c>
      <c r="O614" s="4" t="inlineStr">
        <is>
          <t>https://www.timeshighereducation.com/world-university-rankings/2027/world-ranking
https://sinta.kemdiktisaintek.go.id/affiliations/profile/1470</t>
        </is>
      </c>
      <c r="P61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89.778, Overall 164.011; SINTA ID 1470.</t>
        </is>
      </c>
    </row>
    <row r="615">
      <c r="A615" s="3" t="inlineStr">
        <is>
          <t>Indonesia|Institut Teknologi Kalimantan (ITK)</t>
        </is>
      </c>
      <c r="B615" s="3" t="inlineStr">
        <is>
          <t>Indonesia</t>
        </is>
      </c>
      <c r="C615" s="3" t="inlineStr">
        <is>
          <t>Баликпапан</t>
        </is>
      </c>
      <c r="D615" s="3" t="inlineStr">
        <is>
          <t>Institut Teknologi Kalimantan (ITK)</t>
        </is>
      </c>
      <c r="E615" s="3" t="inlineStr">
        <is>
          <t>Institut Teknologi Kalimantan</t>
        </is>
      </c>
      <c r="F615" s="3" t="inlineStr">
        <is>
          <t>https://itk.ac.id</t>
        </is>
      </c>
      <c r="G615" s="3" t="inlineStr"/>
      <c r="H615" s="3" t="inlineStr"/>
      <c r="I615" s="3" t="inlineStr"/>
      <c r="J615" s="4" t="inlineStr">
        <is>
          <t>не в рейтинге</t>
        </is>
      </c>
      <c r="K615" s="4" t="inlineStr">
        <is>
          <t>не в рейтинге</t>
        </is>
      </c>
      <c r="L615" s="4" t="inlineStr">
        <is>
          <t>нет в опубл. списке (опубликован только топ-15 страны)</t>
        </is>
      </c>
      <c r="M615" s="4" t="inlineStr">
        <is>
          <t>SINTA Affiliations (сортировка по умолчанию: SINTA Score 3Yr), 2026</t>
        </is>
      </c>
      <c r="N615" s="4" t="inlineStr">
        <is>
          <t>169</t>
        </is>
      </c>
      <c r="O615" s="4" t="inlineStr">
        <is>
          <t>https://sinta.kemdiktisaintek.go.id/affiliations/profile/536</t>
        </is>
      </c>
      <c r="P61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77.892, Overall 135.576; SINTA ID 536.</t>
        </is>
      </c>
    </row>
    <row r="616">
      <c r="A616" s="3" t="inlineStr">
        <is>
          <t>Indonesia|Institut Teknologi Nasional Bandung (ITENAS Bandung)</t>
        </is>
      </c>
      <c r="B616" s="3" t="inlineStr">
        <is>
          <t>Indonesia</t>
        </is>
      </c>
      <c r="C616" s="3" t="inlineStr">
        <is>
          <t>Бандунг</t>
        </is>
      </c>
      <c r="D616" s="3" t="inlineStr">
        <is>
          <t>Institut Teknologi Nasional Bandung (ITENAS Bandung)</t>
        </is>
      </c>
      <c r="E616" s="3" t="inlineStr">
        <is>
          <t>Institut Teknologi Nasional Bandung</t>
        </is>
      </c>
      <c r="F616" s="3" t="inlineStr">
        <is>
          <t>https://www.itenas.ac.id</t>
        </is>
      </c>
      <c r="G616" s="3" t="inlineStr"/>
      <c r="H616" s="3" t="inlineStr">
        <is>
          <t>THE2027 Reporter (unranked)</t>
        </is>
      </c>
      <c r="I616" s="3" t="inlineStr"/>
      <c r="J616" s="4" t="inlineStr">
        <is>
          <t>не в рейтинге</t>
        </is>
      </c>
      <c r="K616" s="4" t="inlineStr">
        <is>
          <t>Reporter</t>
        </is>
      </c>
      <c r="L616" s="4" t="inlineStr">
        <is>
          <t>нет в опубл. списке (опубликован только топ-15 страны)</t>
        </is>
      </c>
      <c r="M616" s="4" t="inlineStr">
        <is>
          <t>SINTA Affiliations (сортировка по умолчанию: SINTA Score 3Yr), 2026</t>
        </is>
      </c>
      <c r="N616" s="4" t="inlineStr">
        <is>
          <t>305</t>
        </is>
      </c>
      <c r="O616" s="4" t="inlineStr">
        <is>
          <t>https://www.timeshighereducation.com/world-university-rankings/2027/world-ranking
https://sinta.kemdiktisaintek.go.id/affiliations/profile/1452</t>
        </is>
      </c>
      <c r="P61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40.009, Overall 102.970; SINTA ID 1452.</t>
        </is>
      </c>
    </row>
    <row r="617">
      <c r="A617" s="3" t="inlineStr">
        <is>
          <t>Indonesia|Institut Teknologi Sepuluh Nopember (ITS)</t>
        </is>
      </c>
      <c r="B617" s="3" t="inlineStr">
        <is>
          <t>Indonesia</t>
        </is>
      </c>
      <c r="C617" s="3" t="inlineStr">
        <is>
          <t>Сурабая</t>
        </is>
      </c>
      <c r="D617" s="3" t="inlineStr">
        <is>
          <t>Institut Teknologi Sepuluh Nopember (ITS)</t>
        </is>
      </c>
      <c r="E617" s="3" t="inlineStr">
        <is>
          <t>Institut Teknologi Sepuluh Nopember</t>
        </is>
      </c>
      <c r="F617" s="3" t="inlineStr">
        <is>
          <t>https://www.its.ac.id</t>
        </is>
      </c>
      <c r="G617" s="3" t="inlineStr">
        <is>
          <t>QS2027: 497</t>
        </is>
      </c>
      <c r="H617" s="3" t="inlineStr">
        <is>
          <t>THE2027: 1401–1600</t>
        </is>
      </c>
      <c r="I617" s="3" t="inlineStr"/>
      <c r="J617" s="4">
        <f>497</f>
        <v/>
      </c>
      <c r="K617" s="4" t="inlineStr">
        <is>
          <t>1401–1600</t>
        </is>
      </c>
      <c r="L617" s="4" t="inlineStr">
        <is>
          <t>нет в опубл. списке (опубликован только топ-15 страны)</t>
        </is>
      </c>
      <c r="M617" s="4" t="inlineStr">
        <is>
          <t>SINTA Affiliations (сортировка по умолчанию: SINTA Score 3Yr), 2026</t>
        </is>
      </c>
      <c r="N617" s="4" t="inlineStr">
        <is>
          <t>6</t>
        </is>
      </c>
      <c r="O617" s="4" t="inlineStr">
        <is>
          <t>https://www.topuniversities.com/world-university-rankings (QS WUR 2027)
https://www.timeshighereducation.com/world-university-rankings/2027/world-ranking
https://sinta.kemdiktisaintek.go.id/affiliations/profile/417</t>
        </is>
      </c>
      <c r="P61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983.518, Overall 2.435.319; SINTA ID 417.</t>
        </is>
      </c>
    </row>
    <row r="618">
      <c r="A618" s="3" t="inlineStr">
        <is>
          <t>Indonesia|Islamic University of Indonesia (UII)</t>
        </is>
      </c>
      <c r="B618" s="3" t="inlineStr">
        <is>
          <t>Indonesia</t>
        </is>
      </c>
      <c r="C618" s="3" t="inlineStr">
        <is>
          <t>Джокьякарта</t>
        </is>
      </c>
      <c r="D618" s="3" t="inlineStr">
        <is>
          <t>Islamic University of Indonesia (UII)</t>
        </is>
      </c>
      <c r="E618" s="3" t="inlineStr">
        <is>
          <t>Universitas Islam Indonesia</t>
        </is>
      </c>
      <c r="F618" s="3" t="inlineStr">
        <is>
          <t>https://www.uii.ac.id</t>
        </is>
      </c>
      <c r="G618" s="3" t="inlineStr"/>
      <c r="H618" s="3" t="inlineStr">
        <is>
          <t>THE2027: 1801–2000</t>
        </is>
      </c>
      <c r="I618" s="3" t="inlineStr"/>
      <c r="J618" s="4" t="inlineStr">
        <is>
          <t>не в рейтинге</t>
        </is>
      </c>
      <c r="K618" s="4" t="inlineStr">
        <is>
          <t>1801–2000</t>
        </is>
      </c>
      <c r="L618" s="4" t="inlineStr">
        <is>
          <t>нет в опубл. списке (опубликован только топ-15 страны)</t>
        </is>
      </c>
      <c r="M618" s="4" t="inlineStr">
        <is>
          <t>SINTA Affiliations (сортировка по умолчанию: SINTA Score 3Yr), 2026</t>
        </is>
      </c>
      <c r="N618" s="4" t="inlineStr">
        <is>
          <t>28</t>
        </is>
      </c>
      <c r="O618" s="4" t="inlineStr">
        <is>
          <t>https://www.timeshighereducation.com/world-university-rankings/2027/world-ranking
https://sinta.kemdiktisaintek.go.id/affiliations/profile/382</t>
        </is>
      </c>
      <c r="P618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558.822, Overall 1.210.692; SINTA ID 382.</t>
        </is>
      </c>
    </row>
    <row r="619">
      <c r="A619" s="3" t="inlineStr">
        <is>
          <t>Indonesia|Khairun University (UNKHAIR)</t>
        </is>
      </c>
      <c r="B619" s="3" t="inlineStr">
        <is>
          <t>Indonesia</t>
        </is>
      </c>
      <c r="C619" s="3" t="inlineStr">
        <is>
          <t>Тернате (Северное Малуку)</t>
        </is>
      </c>
      <c r="D619" s="3" t="inlineStr">
        <is>
          <t>Khairun University (UNKHAIR)</t>
        </is>
      </c>
      <c r="E619" s="3" t="inlineStr">
        <is>
          <t>Universitas Khairun</t>
        </is>
      </c>
      <c r="F619" s="3" t="inlineStr">
        <is>
          <t>https://unkhair.ac.id</t>
        </is>
      </c>
      <c r="G619" s="3" t="inlineStr"/>
      <c r="H619" s="3" t="inlineStr"/>
      <c r="I619" s="3" t="inlineStr"/>
      <c r="J619" s="4" t="inlineStr">
        <is>
          <t>не в рейтинге</t>
        </is>
      </c>
      <c r="K619" s="4" t="inlineStr">
        <is>
          <t>не в рейтинге</t>
        </is>
      </c>
      <c r="L619" s="4" t="inlineStr">
        <is>
          <t>нет в опубл. списке (опубликован только топ-15 страны)</t>
        </is>
      </c>
      <c r="M619" s="4" t="inlineStr">
        <is>
          <t>SINTA Affiliations (сортировка по умолчанию: SINTA Score 3Yr), 2026</t>
        </is>
      </c>
      <c r="N619" s="4" t="inlineStr">
        <is>
          <t>123</t>
        </is>
      </c>
      <c r="O619" s="4" t="inlineStr">
        <is>
          <t>https://sinta.kemdiktisaintek.go.id/affiliations/profile/505</t>
        </is>
      </c>
      <c r="P619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112.249, Overall 238.196; SINTA ID 505.</t>
        </is>
      </c>
    </row>
    <row r="620">
      <c r="A620" s="3" t="inlineStr">
        <is>
          <t>Indonesia|LSPR Institute of Communication &amp; Business</t>
        </is>
      </c>
      <c r="B620" s="3" t="inlineStr">
        <is>
          <t>Indonesia</t>
        </is>
      </c>
      <c r="C620" s="3" t="inlineStr">
        <is>
          <t>Джакарта</t>
        </is>
      </c>
      <c r="D620" s="3" t="inlineStr">
        <is>
          <t>LSPR Institute of Communication &amp; Business</t>
        </is>
      </c>
      <c r="E620" s="3" t="inlineStr">
        <is>
          <t>Institut Komunikasi dan Bisnis LSPR</t>
        </is>
      </c>
      <c r="F620" s="3" t="inlineStr">
        <is>
          <t>https://www.lspr.ac.id</t>
        </is>
      </c>
      <c r="G620" s="3" t="inlineStr"/>
      <c r="H620" s="3" t="inlineStr"/>
      <c r="I620" s="3" t="inlineStr"/>
      <c r="J620" s="4" t="inlineStr">
        <is>
          <t>не в рейтинге</t>
        </is>
      </c>
      <c r="K620" s="4" t="inlineStr">
        <is>
          <t>Reporter</t>
        </is>
      </c>
      <c r="L620" s="4" t="inlineStr">
        <is>
          <t>нет в опубл. списке (опубликован только топ-15 страны)</t>
        </is>
      </c>
      <c r="M620" s="4" t="inlineStr">
        <is>
          <t>SINTA Affiliations (сортировка по умолчанию: SINTA Score 3Yr), 2026</t>
        </is>
      </c>
      <c r="N620" s="4" t="inlineStr">
        <is>
          <t>409</t>
        </is>
      </c>
      <c r="O620" s="4" t="inlineStr">
        <is>
          <t>https://www.timeshighereducation.com/world-university-rankings/2027/world-ranking
https://sinta.kemdiktisaintek.go.id/affiliations/profile/1183</t>
        </is>
      </c>
      <c r="P62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26.943, Overall 56.964; SINTA ID 1183.</t>
        </is>
      </c>
    </row>
    <row r="621">
      <c r="A621" s="3" t="inlineStr">
        <is>
          <t>Indonesia|Maulana Malik Ibrahim State Islamic University Malang (UIN Malang)</t>
        </is>
      </c>
      <c r="B621" s="3" t="inlineStr">
        <is>
          <t>Indonesia</t>
        </is>
      </c>
      <c r="C621" s="3" t="inlineStr">
        <is>
          <t>Маланг</t>
        </is>
      </c>
      <c r="D621" s="3" t="inlineStr">
        <is>
          <t>Maulana Malik Ibrahim State Islamic University Malang (UIN Malang)</t>
        </is>
      </c>
      <c r="E621" s="3" t="inlineStr">
        <is>
          <t>Universitas Islam Negeri Maulana Malik Ibrahim Malang</t>
        </is>
      </c>
      <c r="F621" s="3" t="inlineStr">
        <is>
          <t>https://uin-malang.ac.id</t>
        </is>
      </c>
      <c r="G621" s="3" t="inlineStr"/>
      <c r="H621" s="3" t="inlineStr">
        <is>
          <t>THE2027: 1201–1400</t>
        </is>
      </c>
      <c r="I621" s="3" t="inlineStr"/>
      <c r="J621" s="4" t="inlineStr">
        <is>
          <t>не в рейтинге</t>
        </is>
      </c>
      <c r="K621" s="4" t="inlineStr">
        <is>
          <t>1201–1400</t>
        </is>
      </c>
      <c r="L621" s="4" t="inlineStr">
        <is>
          <t>нет в опубл. списке (опубликован только топ-15 страны)</t>
        </is>
      </c>
      <c r="M621" s="4" t="inlineStr">
        <is>
          <t>SINTA Affiliations (сортировка по умолчанию: SINTA Score 3Yr), 2026</t>
        </is>
      </c>
      <c r="N621" s="4" t="inlineStr">
        <is>
          <t>78</t>
        </is>
      </c>
      <c r="O621" s="4" t="inlineStr">
        <is>
          <t>https://www.timeshighereducation.com/world-university-rankings/2027/world-ranking
https://sinta.kemdiktisaintek.go.id/affiliations/profile/3513</t>
        </is>
      </c>
      <c r="P62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191.098, Overall 380.627; SINTA ID 3513.</t>
        </is>
      </c>
    </row>
    <row r="622">
      <c r="A622" s="3" t="inlineStr">
        <is>
          <t>Indonesia|Muhammadiyah University of Makassar (Unismuh Makassar)</t>
        </is>
      </c>
      <c r="B622" s="3" t="inlineStr">
        <is>
          <t>Indonesia</t>
        </is>
      </c>
      <c r="C622" s="3" t="inlineStr">
        <is>
          <t>Макассар</t>
        </is>
      </c>
      <c r="D622" s="3" t="inlineStr">
        <is>
          <t>Muhammadiyah University of Makassar (Unismuh Makassar)</t>
        </is>
      </c>
      <c r="E622" s="3" t="inlineStr">
        <is>
          <t>Universitas Muhammadiyah Makassar</t>
        </is>
      </c>
      <c r="F622" s="3" t="inlineStr">
        <is>
          <t>https://unismuh.ac.id</t>
        </is>
      </c>
      <c r="G622" s="3" t="inlineStr"/>
      <c r="H622" s="3" t="inlineStr">
        <is>
          <t>THE2027 Reporter (unranked)</t>
        </is>
      </c>
      <c r="I622" s="3" t="inlineStr"/>
      <c r="J622" s="4" t="inlineStr">
        <is>
          <t>не в рейтинге</t>
        </is>
      </c>
      <c r="K622" s="4" t="inlineStr">
        <is>
          <t>Reporter</t>
        </is>
      </c>
      <c r="L622" s="4" t="inlineStr">
        <is>
          <t>нет в опубл. списке (опубликован только топ-15 страны)</t>
        </is>
      </c>
      <c r="M622" s="4" t="inlineStr">
        <is>
          <t>SINTA Affiliations (сортировка по умолчанию: SINTA Score 3Yr), 2026</t>
        </is>
      </c>
      <c r="N622" s="4" t="inlineStr">
        <is>
          <t>90</t>
        </is>
      </c>
      <c r="O622" s="4" t="inlineStr">
        <is>
          <t>https://www.timeshighereducation.com/world-university-rankings/2027/world-ranking
https://sinta.kemdiktisaintek.go.id/affiliations/profile/2530</t>
        </is>
      </c>
      <c r="P62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169.578, Overall 345.282; SINTA ID 2530.</t>
        </is>
      </c>
    </row>
    <row r="623">
      <c r="A623" s="3" t="inlineStr">
        <is>
          <t>Indonesia|Muhammadiyah University of North Sumatra (UMSU)</t>
        </is>
      </c>
      <c r="B623" s="3" t="inlineStr">
        <is>
          <t>Indonesia</t>
        </is>
      </c>
      <c r="C623" s="3" t="inlineStr">
        <is>
          <t>Медан</t>
        </is>
      </c>
      <c r="D623" s="3" t="inlineStr">
        <is>
          <t>Muhammadiyah University of North Sumatra (UMSU)</t>
        </is>
      </c>
      <c r="E623" s="3" t="inlineStr">
        <is>
          <t>Universitas Muhammadiyah Sumatera Utara</t>
        </is>
      </c>
      <c r="F623" s="3" t="inlineStr">
        <is>
          <t>https://umsu.ac.id</t>
        </is>
      </c>
      <c r="G623" s="3" t="inlineStr"/>
      <c r="H623" s="3" t="inlineStr">
        <is>
          <t>THE2027 Reporter (unranked)</t>
        </is>
      </c>
      <c r="I623" s="3" t="inlineStr"/>
      <c r="J623" s="4" t="inlineStr">
        <is>
          <t>не в рейтинге</t>
        </is>
      </c>
      <c r="K623" s="4" t="inlineStr">
        <is>
          <t>Reporter</t>
        </is>
      </c>
      <c r="L623" s="4" t="inlineStr">
        <is>
          <t>нет в опубл. списке (опубликован только топ-15 страны)</t>
        </is>
      </c>
      <c r="M623" s="4" t="inlineStr">
        <is>
          <t>SINTA Affiliations (сортировка по умолчанию: SINTA Score 3Yr), 2026</t>
        </is>
      </c>
      <c r="N623" s="4" t="inlineStr">
        <is>
          <t>33</t>
        </is>
      </c>
      <c r="O623" s="4" t="inlineStr">
        <is>
          <t>https://www.timeshighereducation.com/world-university-rankings/2027/world-ranking
https://sinta.kemdiktisaintek.go.id/affiliations/profile/581</t>
        </is>
      </c>
      <c r="P62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456.161, Overall 841.655; SINTA ID 581.</t>
        </is>
      </c>
    </row>
    <row r="624">
      <c r="A624" s="3" t="inlineStr">
        <is>
          <t>Indonesia|Muhammadiyah University of Semarang (Unimus)</t>
        </is>
      </c>
      <c r="B624" s="3" t="inlineStr">
        <is>
          <t>Indonesia</t>
        </is>
      </c>
      <c r="C624" s="3" t="inlineStr">
        <is>
          <t>Семаранг</t>
        </is>
      </c>
      <c r="D624" s="3" t="inlineStr">
        <is>
          <t>Muhammadiyah University of Semarang (Unimus)</t>
        </is>
      </c>
      <c r="E624" s="3" t="inlineStr">
        <is>
          <t>Universitas Muhammadiyah Semarang</t>
        </is>
      </c>
      <c r="F624" s="3" t="inlineStr">
        <is>
          <t>https://unimus.ac.id</t>
        </is>
      </c>
      <c r="G624" s="3" t="inlineStr"/>
      <c r="H624" s="3" t="inlineStr"/>
      <c r="I624" s="3" t="inlineStr"/>
      <c r="J624" s="4" t="inlineStr">
        <is>
          <t>не в рейтинге</t>
        </is>
      </c>
      <c r="K624" s="4" t="inlineStr">
        <is>
          <t>Reporter</t>
        </is>
      </c>
      <c r="L624" s="4" t="inlineStr">
        <is>
          <t>нет в опубл. списке (опубликован только топ-15 страны)</t>
        </is>
      </c>
      <c r="M624" s="4" t="inlineStr">
        <is>
          <t>SINTA Affiliations (сортировка по умолчанию: SINTA Score 3Yr), 2026</t>
        </is>
      </c>
      <c r="N624" s="4" t="inlineStr">
        <is>
          <t>151</t>
        </is>
      </c>
      <c r="O624" s="4" t="inlineStr">
        <is>
          <t>https://www.timeshighereducation.com/world-university-rankings/2027/world-ranking
https://sinta.kemdiktisaintek.go.id/affiliations/profile/52</t>
        </is>
      </c>
      <c r="P62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90.558, Overall 228.818; SINTA ID 52.</t>
        </is>
      </c>
    </row>
    <row r="625">
      <c r="A625" s="3" t="inlineStr">
        <is>
          <t>Indonesia|Muhammadiyah University of Sidoarjo (UMSIDA)</t>
        </is>
      </c>
      <c r="B625" s="3" t="inlineStr">
        <is>
          <t>Indonesia</t>
        </is>
      </c>
      <c r="C625" s="3" t="inlineStr">
        <is>
          <t>Сидоарджо</t>
        </is>
      </c>
      <c r="D625" s="3" t="inlineStr">
        <is>
          <t>Muhammadiyah University of Sidoarjo (UMSIDA)</t>
        </is>
      </c>
      <c r="E625" s="3" t="inlineStr">
        <is>
          <t>Universitas Muhammadiyah Sidoarjo</t>
        </is>
      </c>
      <c r="F625" s="3" t="inlineStr">
        <is>
          <t>https://umsida.ac.id</t>
        </is>
      </c>
      <c r="G625" s="3" t="inlineStr"/>
      <c r="H625" s="3" t="inlineStr"/>
      <c r="I625" s="3" t="inlineStr"/>
      <c r="J625" s="4" t="inlineStr">
        <is>
          <t>не в рейтинге</t>
        </is>
      </c>
      <c r="K625" s="4" t="inlineStr">
        <is>
          <t>Reporter</t>
        </is>
      </c>
      <c r="L625" s="4" t="inlineStr">
        <is>
          <t>нет в опубл. списке (опубликован только топ-15 страны)</t>
        </is>
      </c>
      <c r="M625" s="4" t="inlineStr">
        <is>
          <t>SINTA Affiliations (сортировка по умолчанию: SINTA Score 3Yr), 2026</t>
        </is>
      </c>
      <c r="N625" s="4" t="inlineStr">
        <is>
          <t>60</t>
        </is>
      </c>
      <c r="O625" s="4" t="inlineStr">
        <is>
          <t>https://www.timeshighereducation.com/world-university-rankings/2027/world-ranking
https://sinta.kemdiktisaintek.go.id/affiliations/profile/551</t>
        </is>
      </c>
      <c r="P62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282.009, Overall 521.513; SINTA ID 551.</t>
        </is>
      </c>
    </row>
    <row r="626">
      <c r="A626" s="3" t="inlineStr">
        <is>
          <t>Indonesia|Mulawarman University (Universitas Mulawarman, UNMUL)</t>
        </is>
      </c>
      <c r="B626" s="3" t="inlineStr">
        <is>
          <t>Indonesia</t>
        </is>
      </c>
      <c r="C626" s="3" t="inlineStr">
        <is>
          <t>Самаринда</t>
        </is>
      </c>
      <c r="D626" s="3" t="inlineStr">
        <is>
          <t>Mulawarman University (Universitas Mulawarman, UNMUL)</t>
        </is>
      </c>
      <c r="E626" s="3" t="inlineStr">
        <is>
          <t>Universitas Mulawarman</t>
        </is>
      </c>
      <c r="F626" s="3" t="inlineStr">
        <is>
          <t>https://www.unmul.ac.id</t>
        </is>
      </c>
      <c r="G626" s="3" t="inlineStr"/>
      <c r="H626" s="3" t="inlineStr"/>
      <c r="I626" s="3" t="inlineStr"/>
      <c r="J626" s="4" t="inlineStr">
        <is>
          <t>не в рейтинге</t>
        </is>
      </c>
      <c r="K626" s="4" t="inlineStr">
        <is>
          <t>не в рейтинге</t>
        </is>
      </c>
      <c r="L626" s="4" t="inlineStr">
        <is>
          <t>нет в опубл. списке (опубликован только топ-15 страны)</t>
        </is>
      </c>
      <c r="M626" s="4" t="inlineStr">
        <is>
          <t>SINTA Affiliations (сортировка по умолчанию: SINTA Score 3Yr), 2026</t>
        </is>
      </c>
      <c r="N626" s="4" t="inlineStr">
        <is>
          <t>47</t>
        </is>
      </c>
      <c r="O626" s="4" t="inlineStr">
        <is>
          <t>https://sinta.kemdiktisaintek.go.id/affiliations/profile/411</t>
        </is>
      </c>
      <c r="P62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326.419, Overall 736.987; SINTA ID 411.</t>
        </is>
      </c>
    </row>
    <row r="627">
      <c r="A627" s="3" t="inlineStr">
        <is>
          <t>Indonesia|Nahdlatul Ulama University of Surabaya (UNUSA)</t>
        </is>
      </c>
      <c r="B627" s="3" t="inlineStr">
        <is>
          <t>Indonesia</t>
        </is>
      </c>
      <c r="C627" s="3" t="inlineStr">
        <is>
          <t>Сурабая</t>
        </is>
      </c>
      <c r="D627" s="3" t="inlineStr">
        <is>
          <t>Nahdlatul Ulama University of Surabaya (UNUSA)</t>
        </is>
      </c>
      <c r="E627" s="3" t="inlineStr">
        <is>
          <t>Universitas Nahdlatul Ulama Surabaya</t>
        </is>
      </c>
      <c r="F627" s="3" t="inlineStr">
        <is>
          <t>https://unusa.ac.id</t>
        </is>
      </c>
      <c r="G627" s="3" t="inlineStr"/>
      <c r="H627" s="3" t="inlineStr">
        <is>
          <t>THE2027 Reporter (unranked)</t>
        </is>
      </c>
      <c r="I627" s="3" t="inlineStr"/>
      <c r="J627" s="4" t="inlineStr">
        <is>
          <t>не в рейтинге</t>
        </is>
      </c>
      <c r="K627" s="4" t="inlineStr">
        <is>
          <t>Reporter</t>
        </is>
      </c>
      <c r="L627" s="4" t="inlineStr">
        <is>
          <t>нет в опубл. списке (опубликован только топ-15 страны)</t>
        </is>
      </c>
      <c r="M627" s="4" t="inlineStr">
        <is>
          <t>SINTA Affiliations (сортировка по умолчанию: SINTA Score 3Yr), 2026</t>
        </is>
      </c>
      <c r="N627" s="4" t="inlineStr">
        <is>
          <t>107</t>
        </is>
      </c>
      <c r="O627" s="4" t="inlineStr">
        <is>
          <t>https://www.timeshighereducation.com/world-university-rankings/2027/world-ranking
https://sinta.kemdiktisaintek.go.id/affiliations/profile/2106</t>
        </is>
      </c>
      <c r="P62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129.432, Overall 320.645; SINTA ID 2106.</t>
        </is>
      </c>
    </row>
    <row r="628">
      <c r="A628" s="3" t="inlineStr">
        <is>
          <t>Indonesia|National Research and Innovation Agency (BRIN)</t>
        </is>
      </c>
      <c r="B628" s="3" t="inlineStr">
        <is>
          <t>Indonesia</t>
        </is>
      </c>
      <c r="C628" s="3" t="inlineStr">
        <is>
          <t>Джакарта</t>
        </is>
      </c>
      <c r="D628" s="3" t="inlineStr">
        <is>
          <t>National Research and Innovation Agency (BRIN)</t>
        </is>
      </c>
      <c r="E628" s="3" t="inlineStr">
        <is>
          <t>Badan Riset dan Inovasi Nasional (BRIN)</t>
        </is>
      </c>
      <c r="F628" s="3" t="inlineStr">
        <is>
          <t>https://www.brin.go.id</t>
        </is>
      </c>
      <c r="G628" s="3" t="inlineStr"/>
      <c r="H628" s="3" t="inlineStr"/>
      <c r="I628" s="3" t="inlineStr"/>
      <c r="J628" s="4" t="inlineStr">
        <is>
          <t>не в рейтинге</t>
        </is>
      </c>
      <c r="K628" s="4" t="inlineStr">
        <is>
          <t>не в рейтинге</t>
        </is>
      </c>
      <c r="L628" s="4" t="inlineStr">
        <is>
          <t>нет в опубл. списке (опубликован только топ-15 страны)</t>
        </is>
      </c>
      <c r="M628" s="4" t="inlineStr">
        <is>
          <t>SINTA Affiliations (сортировка по умолчанию: SINTA Score 3Yr), 2026</t>
        </is>
      </c>
      <c r="N628" s="4" t="inlineStr">
        <is>
          <t>56</t>
        </is>
      </c>
      <c r="O628" s="4" t="inlineStr">
        <is>
          <t>https://sinta.kemdiktisaintek.go.id/affiliations/profile/444</t>
        </is>
      </c>
      <c r="P628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293.672, Overall 1.382.412; SINTA ID 444.</t>
        </is>
      </c>
    </row>
    <row r="629">
      <c r="A629" s="3" t="inlineStr">
        <is>
          <t>Indonesia|Nusa Cendana University (UNDANA)</t>
        </is>
      </c>
      <c r="B629" s="3" t="inlineStr">
        <is>
          <t>Indonesia</t>
        </is>
      </c>
      <c r="C629" s="3" t="inlineStr">
        <is>
          <t>Купанг (Восточная Нуса-Тенгара)</t>
        </is>
      </c>
      <c r="D629" s="3" t="inlineStr">
        <is>
          <t>Nusa Cendana University (UNDANA)</t>
        </is>
      </c>
      <c r="E629" s="3" t="inlineStr">
        <is>
          <t>Universitas Nusa Cendana</t>
        </is>
      </c>
      <c r="F629" s="3" t="inlineStr">
        <is>
          <t>https://undana.ac.id</t>
        </is>
      </c>
      <c r="G629" s="3" t="inlineStr"/>
      <c r="H629" s="3" t="inlineStr"/>
      <c r="I629" s="3" t="inlineStr"/>
      <c r="J629" s="4" t="inlineStr">
        <is>
          <t>не в рейтинге</t>
        </is>
      </c>
      <c r="K629" s="4" t="inlineStr">
        <is>
          <t>не в рейтинге</t>
        </is>
      </c>
      <c r="L629" s="4" t="inlineStr">
        <is>
          <t>нет в опубл. списке (опубликован только топ-15 страны)</t>
        </is>
      </c>
      <c r="M629" s="4" t="inlineStr">
        <is>
          <t>SINTA Affiliations (сортировка по умолчанию: SINTA Score 3Yr), 2026</t>
        </is>
      </c>
      <c r="N629" s="4" t="inlineStr">
        <is>
          <t>97</t>
        </is>
      </c>
      <c r="O629" s="4" t="inlineStr">
        <is>
          <t>https://sinta.kemdiktisaintek.go.id/affiliations/profile/487</t>
        </is>
      </c>
      <c r="P629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157.892, Overall 420.004; SINTA ID 487.</t>
        </is>
      </c>
    </row>
    <row r="630">
      <c r="A630" s="3" t="inlineStr">
        <is>
          <t>Indonesia|Nusa Putra University</t>
        </is>
      </c>
      <c r="B630" s="3" t="inlineStr">
        <is>
          <t>Indonesia</t>
        </is>
      </c>
      <c r="C630" s="3" t="inlineStr">
        <is>
          <t>Сукабуми</t>
        </is>
      </c>
      <c r="D630" s="3" t="inlineStr">
        <is>
          <t>Nusa Putra University</t>
        </is>
      </c>
      <c r="E630" s="3" t="inlineStr">
        <is>
          <t>Universitas Nusa Putra</t>
        </is>
      </c>
      <c r="F630" s="3" t="inlineStr">
        <is>
          <t>https://nusaputra.ac.id</t>
        </is>
      </c>
      <c r="G630" s="3" t="inlineStr"/>
      <c r="H630" s="3" t="inlineStr">
        <is>
          <t>THE2027 Reporter (unranked)</t>
        </is>
      </c>
      <c r="I630" s="3" t="inlineStr"/>
      <c r="J630" s="4" t="inlineStr">
        <is>
          <t>не в рейтинге</t>
        </is>
      </c>
      <c r="K630" s="4" t="inlineStr">
        <is>
          <t>Reporter</t>
        </is>
      </c>
      <c r="L630" s="4" t="inlineStr">
        <is>
          <t>нет в опубл. списке (опубликован только топ-15 страны)</t>
        </is>
      </c>
      <c r="M630" s="4" t="inlineStr">
        <is>
          <t>SINTA Affiliations (сортировка по умолчанию: SINTA Score 3Yr), 2026</t>
        </is>
      </c>
      <c r="N630" s="4" t="inlineStr">
        <is>
          <t>112</t>
        </is>
      </c>
      <c r="O630" s="4" t="inlineStr">
        <is>
          <t>https://www.timeshighereducation.com/world-university-rankings/2027/world-ranking
https://sinta.kemdiktisaintek.go.id/affiliations/profile/1659</t>
        </is>
      </c>
      <c r="P63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125.813, Overall 237.148; SINTA ID 1659.</t>
        </is>
      </c>
    </row>
    <row r="631">
      <c r="A631" s="3" t="inlineStr">
        <is>
          <t>Indonesia|PLN Institute of Technology (ITPLN)</t>
        </is>
      </c>
      <c r="B631" s="3" t="inlineStr">
        <is>
          <t>Indonesia</t>
        </is>
      </c>
      <c r="C631" s="3" t="inlineStr">
        <is>
          <t>Джакарта</t>
        </is>
      </c>
      <c r="D631" s="3" t="inlineStr">
        <is>
          <t>PLN Institute of Technology (ITPLN)</t>
        </is>
      </c>
      <c r="E631" s="3" t="inlineStr">
        <is>
          <t>Institut Teknologi PLN</t>
        </is>
      </c>
      <c r="F631" s="3" t="inlineStr">
        <is>
          <t>https://itpln.ac.id</t>
        </is>
      </c>
      <c r="G631" s="3" t="inlineStr"/>
      <c r="H631" s="3" t="inlineStr"/>
      <c r="I631" s="3" t="inlineStr"/>
      <c r="J631" s="4" t="inlineStr">
        <is>
          <t>не в рейтинге</t>
        </is>
      </c>
      <c r="K631" s="4" t="inlineStr">
        <is>
          <t>Reporter</t>
        </is>
      </c>
      <c r="L631" s="4" t="inlineStr">
        <is>
          <t>нет в опубл. списке (опубликован только топ-15 страны)</t>
        </is>
      </c>
      <c r="M631" s="4" t="inlineStr">
        <is>
          <t>SINTA Affiliations (сортировка по умолчанию: SINTA Score 3Yr), 2026</t>
        </is>
      </c>
      <c r="N631" s="4" t="inlineStr">
        <is>
          <t>329</t>
        </is>
      </c>
      <c r="O631" s="4" t="inlineStr">
        <is>
          <t>https://www.timeshighereducation.com/world-university-rankings/2027/world-ranking
https://sinta.kemdiktisaintek.go.id/affiliations/profile/1177</t>
        </is>
      </c>
      <c r="P63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36.018, Overall 95.785; SINTA ID 1177.</t>
        </is>
      </c>
    </row>
    <row r="632">
      <c r="A632" s="3" t="inlineStr">
        <is>
          <t>Indonesia|Parahyangan Catholic University (UNPAR)</t>
        </is>
      </c>
      <c r="B632" s="3" t="inlineStr">
        <is>
          <t>Indonesia</t>
        </is>
      </c>
      <c r="C632" s="3" t="inlineStr">
        <is>
          <t>Бандунг</t>
        </is>
      </c>
      <c r="D632" s="3" t="inlineStr">
        <is>
          <t>Parahyangan Catholic University (UNPAR)</t>
        </is>
      </c>
      <c r="E632" s="3" t="inlineStr">
        <is>
          <t>Universitas Katolik Parahyangan</t>
        </is>
      </c>
      <c r="F632" s="3" t="inlineStr">
        <is>
          <t>https://unpar.ac.id</t>
        </is>
      </c>
      <c r="G632" s="3" t="inlineStr"/>
      <c r="H632" s="3" t="inlineStr"/>
      <c r="I632" s="3" t="inlineStr"/>
      <c r="J632" s="4" t="inlineStr">
        <is>
          <t>не в рейтинге</t>
        </is>
      </c>
      <c r="K632" s="4" t="inlineStr">
        <is>
          <t>Reporter</t>
        </is>
      </c>
      <c r="L632" s="4" t="inlineStr">
        <is>
          <t>нет в опубл. списке (опубликован только топ-15 страны)</t>
        </is>
      </c>
      <c r="M632" s="4" t="inlineStr">
        <is>
          <t>SINTA Affiliations (сортировка по умолчанию: SINTA Score 3Yr), 2026</t>
        </is>
      </c>
      <c r="N632" s="4" t="inlineStr">
        <is>
          <t>178</t>
        </is>
      </c>
      <c r="O632" s="4" t="inlineStr">
        <is>
          <t>https://www.timeshighereducation.com/world-university-rankings/2027/world-ranking
https://sinta.kemdiktisaintek.go.id/affiliations/profile/1397</t>
        </is>
      </c>
      <c r="P63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72.271, Overall 235.033; SINTA ID 1397.</t>
        </is>
      </c>
    </row>
    <row r="633">
      <c r="A633" s="3" t="inlineStr">
        <is>
          <t>Indonesia|Pattimura University (Unpatti)</t>
        </is>
      </c>
      <c r="B633" s="3" t="inlineStr">
        <is>
          <t>Indonesia</t>
        </is>
      </c>
      <c r="C633" s="3" t="inlineStr">
        <is>
          <t>Амбон</t>
        </is>
      </c>
      <c r="D633" s="3" t="inlineStr">
        <is>
          <t>Pattimura University (Unpatti)</t>
        </is>
      </c>
      <c r="E633" s="3" t="inlineStr">
        <is>
          <t>Universitas Pattimura</t>
        </is>
      </c>
      <c r="F633" s="3" t="inlineStr">
        <is>
          <t>https://unpatti.ac.id</t>
        </is>
      </c>
      <c r="G633" s="3" t="inlineStr"/>
      <c r="H633" s="3" t="inlineStr"/>
      <c r="I633" s="3" t="inlineStr"/>
      <c r="J633" s="4" t="inlineStr">
        <is>
          <t>не в рейтинге</t>
        </is>
      </c>
      <c r="K633" s="4" t="inlineStr">
        <is>
          <t>не в рейтинге</t>
        </is>
      </c>
      <c r="L633" s="4" t="inlineStr">
        <is>
          <t>нет в опубл. списке (опубликован только топ-15 страны)</t>
        </is>
      </c>
      <c r="M633" s="4" t="inlineStr">
        <is>
          <t>SINTA Affiliations (сортировка по умолчанию: SINTA Score 3Yr), 2026</t>
        </is>
      </c>
      <c r="N633" s="4" t="inlineStr">
        <is>
          <t>68</t>
        </is>
      </c>
      <c r="O633" s="4" t="inlineStr">
        <is>
          <t>https://sinta.kemdiktisaintek.go.id/affiliations/profile/492</t>
        </is>
      </c>
      <c r="P63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232.126, Overall 458.833; SINTA ID 492.</t>
        </is>
      </c>
    </row>
    <row r="634">
      <c r="A634" s="3" t="inlineStr">
        <is>
          <t>Indonesia|President University</t>
        </is>
      </c>
      <c r="B634" s="3" t="inlineStr">
        <is>
          <t>Indonesia</t>
        </is>
      </c>
      <c r="C634" s="3" t="inlineStr">
        <is>
          <t>Бекаси (Чикаранг)</t>
        </is>
      </c>
      <c r="D634" s="3" t="inlineStr">
        <is>
          <t>President University</t>
        </is>
      </c>
      <c r="E634" s="3" t="inlineStr">
        <is>
          <t>Universitas Presiden</t>
        </is>
      </c>
      <c r="F634" s="3" t="inlineStr">
        <is>
          <t>https://president.ac.id</t>
        </is>
      </c>
      <c r="G634" s="3" t="inlineStr"/>
      <c r="H634" s="3" t="inlineStr"/>
      <c r="I634" s="3" t="inlineStr"/>
      <c r="J634" s="4" t="inlineStr">
        <is>
          <t>не в рейтинге</t>
        </is>
      </c>
      <c r="K634" s="4" t="inlineStr">
        <is>
          <t>Reporter</t>
        </is>
      </c>
      <c r="L634" s="4" t="inlineStr">
        <is>
          <t>нет в опубл. списке (опубликован только топ-15 страны)</t>
        </is>
      </c>
      <c r="M634" s="4" t="inlineStr">
        <is>
          <t>SINTA Affiliations (сортировка по умолчанию: SINTA Score 3Yr), 2026</t>
        </is>
      </c>
      <c r="N634" s="4" t="inlineStr">
        <is>
          <t>319</t>
        </is>
      </c>
      <c r="O634" s="4" t="inlineStr">
        <is>
          <t>https://www.timeshighereducation.com/world-university-rankings/2027/world-ranking
https://sinta.kemdiktisaintek.go.id/affiliations/profile/1429</t>
        </is>
      </c>
      <c r="P63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37.951, Overall 209.644; SINTA ID 1429.</t>
        </is>
      </c>
    </row>
    <row r="635">
      <c r="A635" s="3" t="inlineStr">
        <is>
          <t>Indonesia|Raden Mas Said State Islamic University Surakarta (UIN Raden Mas Said Surakarta)</t>
        </is>
      </c>
      <c r="B635" s="3" t="inlineStr">
        <is>
          <t>Indonesia</t>
        </is>
      </c>
      <c r="C635" s="3" t="inlineStr">
        <is>
          <t>Суракарта (Картасура, Сукохарджо)</t>
        </is>
      </c>
      <c r="D635" s="3" t="inlineStr">
        <is>
          <t>Raden Mas Said State Islamic University Surakarta (UIN Raden Mas Said Surakarta)</t>
        </is>
      </c>
      <c r="E635" s="3" t="inlineStr">
        <is>
          <t>Universitas Islam Negeri Raden Mas Said Surakarta</t>
        </is>
      </c>
      <c r="F635" s="3" t="inlineStr">
        <is>
          <t>https://uinsaid.ac.id</t>
        </is>
      </c>
      <c r="G635" s="3" t="inlineStr"/>
      <c r="H635" s="3" t="inlineStr"/>
      <c r="I635" s="3" t="inlineStr"/>
      <c r="J635" s="4" t="inlineStr">
        <is>
          <t>не в рейтинге</t>
        </is>
      </c>
      <c r="K635" s="4" t="inlineStr">
        <is>
          <t>Reporter</t>
        </is>
      </c>
      <c r="L635" s="4" t="inlineStr">
        <is>
          <t>нет в опубл. списке (опубликован только топ-15 страны)</t>
        </is>
      </c>
      <c r="M635" s="4" t="inlineStr">
        <is>
          <t>SINTA Affiliations (сортировка по умолчанию: SINTA Score 3Yr), 2026</t>
        </is>
      </c>
      <c r="N635" s="4" t="inlineStr">
        <is>
          <t>190</t>
        </is>
      </c>
      <c r="O635" s="4" t="inlineStr">
        <is>
          <t>https://www.timeshighereducation.com/world-university-rankings/2027/world-ranking
https://sinta.kemdiktisaintek.go.id/affiliations/profile/190</t>
        </is>
      </c>
      <c r="P63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66.773, Overall 146.109; SINTA ID 190.</t>
        </is>
      </c>
    </row>
    <row r="636">
      <c r="A636" s="3" t="inlineStr">
        <is>
          <t>Indonesia|Republic of Indonesia Defense University (Unhan RI)</t>
        </is>
      </c>
      <c r="B636" s="3" t="inlineStr">
        <is>
          <t>Indonesia</t>
        </is>
      </c>
      <c r="C636" s="3" t="inlineStr">
        <is>
          <t>Богор (Сентул)</t>
        </is>
      </c>
      <c r="D636" s="3" t="inlineStr">
        <is>
          <t>Republic of Indonesia Defense University (Unhan RI)</t>
        </is>
      </c>
      <c r="E636" s="3" t="inlineStr">
        <is>
          <t>Universitas Pertahanan Republik Indonesia</t>
        </is>
      </c>
      <c r="F636" s="3" t="inlineStr">
        <is>
          <t>https://www.idu.ac.id</t>
        </is>
      </c>
      <c r="G636" s="3" t="inlineStr"/>
      <c r="H636" s="3" t="inlineStr"/>
      <c r="I636" s="3" t="inlineStr"/>
      <c r="J636" s="4" t="inlineStr">
        <is>
          <t>не в рейтинге</t>
        </is>
      </c>
      <c r="K636" s="4" t="inlineStr">
        <is>
          <t>не в рейтинге</t>
        </is>
      </c>
      <c r="L636" s="4" t="inlineStr">
        <is>
          <t>нет в опубл. списке (опубликован только топ-15 страны)</t>
        </is>
      </c>
      <c r="M636" s="4" t="inlineStr">
        <is>
          <t>SINTA Affiliations (сортировка по умолчанию: SINTA Score 3Yr), 2026</t>
        </is>
      </c>
      <c r="N636" s="4" t="inlineStr">
        <is>
          <t>153</t>
        </is>
      </c>
      <c r="O636" s="4" t="inlineStr">
        <is>
          <t>https://sinta.kemdiktisaintek.go.id/affiliations/profile/4479</t>
        </is>
      </c>
      <c r="P63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89.564, Overall 197.863; SINTA ID 4479.</t>
        </is>
      </c>
    </row>
    <row r="637">
      <c r="A637" s="3" t="inlineStr">
        <is>
          <t>Indonesia|Sam Ratulangi University (Unsrat)</t>
        </is>
      </c>
      <c r="B637" s="3" t="inlineStr">
        <is>
          <t>Indonesia</t>
        </is>
      </c>
      <c r="C637" s="3" t="inlineStr">
        <is>
          <t>Манадо</t>
        </is>
      </c>
      <c r="D637" s="3" t="inlineStr">
        <is>
          <t>Sam Ratulangi University (Unsrat)</t>
        </is>
      </c>
      <c r="E637" s="3" t="inlineStr">
        <is>
          <t>Universitas Sam Ratulangi</t>
        </is>
      </c>
      <c r="F637" s="3" t="inlineStr">
        <is>
          <t>https://www.unsrat.ac.id</t>
        </is>
      </c>
      <c r="G637" s="3" t="inlineStr"/>
      <c r="H637" s="3" t="inlineStr"/>
      <c r="I637" s="3" t="inlineStr"/>
      <c r="J637" s="4" t="inlineStr">
        <is>
          <t>не в рейтинге</t>
        </is>
      </c>
      <c r="K637" s="4" t="inlineStr">
        <is>
          <t>не в рейтинге</t>
        </is>
      </c>
      <c r="L637" s="4" t="inlineStr">
        <is>
          <t>нет в опубл. списке (опубликован только топ-15 страны)</t>
        </is>
      </c>
      <c r="M637" s="4" t="inlineStr">
        <is>
          <t>SINTA Affiliations (сортировка по умолчанию: SINTA Score 3Yr), 2026</t>
        </is>
      </c>
      <c r="N637" s="4" t="inlineStr">
        <is>
          <t>65</t>
        </is>
      </c>
      <c r="O637" s="4" t="inlineStr">
        <is>
          <t>https://sinta.kemdiktisaintek.go.id/affiliations/profile/427</t>
        </is>
      </c>
      <c r="P63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254.155, Overall 849.459; SINTA ID 427.</t>
        </is>
      </c>
    </row>
    <row r="638">
      <c r="A638" s="3" t="inlineStr">
        <is>
          <t>Indonesia|Satya Wacana Christian University (UKSW)</t>
        </is>
      </c>
      <c r="B638" s="3" t="inlineStr">
        <is>
          <t>Indonesia</t>
        </is>
      </c>
      <c r="C638" s="3" t="inlineStr">
        <is>
          <t>Салатига (Центральная Ява)</t>
        </is>
      </c>
      <c r="D638" s="3" t="inlineStr">
        <is>
          <t>Satya Wacana Christian University (UKSW)</t>
        </is>
      </c>
      <c r="E638" s="3" t="inlineStr">
        <is>
          <t>Universitas Kristen Satya Wacana</t>
        </is>
      </c>
      <c r="F638" s="3" t="inlineStr">
        <is>
          <t>https://www.uksw.edu</t>
        </is>
      </c>
      <c r="G638" s="3" t="inlineStr"/>
      <c r="H638" s="3" t="inlineStr">
        <is>
          <t>THE2027 Reporter (unranked)</t>
        </is>
      </c>
      <c r="I638" s="3" t="inlineStr"/>
      <c r="J638" s="4" t="inlineStr">
        <is>
          <t>не в рейтинге</t>
        </is>
      </c>
      <c r="K638" s="4" t="inlineStr">
        <is>
          <t>Reporter</t>
        </is>
      </c>
      <c r="L638" s="4" t="inlineStr">
        <is>
          <t>нет в опубл. списке (опубликован только топ-15 страны)</t>
        </is>
      </c>
      <c r="M638" s="4" t="inlineStr">
        <is>
          <t>SINTA Affiliations (сортировка по умолчанию: SINTA Score 3Yr), 2026</t>
        </is>
      </c>
      <c r="N638" s="4" t="inlineStr">
        <is>
          <t>48</t>
        </is>
      </c>
      <c r="O638" s="4" t="inlineStr">
        <is>
          <t>https://www.timeshighereducation.com/world-university-rankings/2027/world-ranking
https://sinta.kemdiktisaintek.go.id/affiliations/profile/13</t>
        </is>
      </c>
      <c r="P638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317.930, Overall 668.160; SINTA ID 13.</t>
        </is>
      </c>
    </row>
    <row r="639">
      <c r="A639" s="3" t="inlineStr">
        <is>
          <t>Indonesia|State Islamic University Professor Kiai Haji Saifuddin Zuhri Purwokerto (UIN Saizu)</t>
        </is>
      </c>
      <c r="B639" s="3" t="inlineStr">
        <is>
          <t>Indonesia</t>
        </is>
      </c>
      <c r="C639" s="3" t="inlineStr">
        <is>
          <t>Пурвокерто</t>
        </is>
      </c>
      <c r="D639" s="3" t="inlineStr">
        <is>
          <t>State Islamic University Professor Kiai Haji Saifuddin Zuhri Purwokerto (UIN Saizu)</t>
        </is>
      </c>
      <c r="E639" s="3" t="inlineStr">
        <is>
          <t>Universitas Islam Negeri Profesor Kiai Haji Saifuddin Zuhri Purwokerto</t>
        </is>
      </c>
      <c r="F639" s="3" t="inlineStr">
        <is>
          <t>https://uinsaizu.ac.id</t>
        </is>
      </c>
      <c r="G639" s="3" t="inlineStr"/>
      <c r="H639" s="3" t="inlineStr"/>
      <c r="I639" s="3" t="inlineStr"/>
      <c r="J639" s="4" t="inlineStr">
        <is>
          <t>не в рейтинге</t>
        </is>
      </c>
      <c r="K639" s="4" t="inlineStr">
        <is>
          <t>Reporter</t>
        </is>
      </c>
      <c r="L639" s="4" t="inlineStr">
        <is>
          <t>нет в опубл. списке (опубликован только топ-15 страны)</t>
        </is>
      </c>
      <c r="M639" s="4" t="inlineStr">
        <is>
          <t>SINTA Affiliations (сортировка по умолчанию: SINTA Score 3Yr), 2026</t>
        </is>
      </c>
      <c r="N639" s="4" t="inlineStr">
        <is>
          <t>287</t>
        </is>
      </c>
      <c r="O639" s="4" t="inlineStr">
        <is>
          <t>https://www.timeshighereducation.com/world-university-rankings/2027/world-ranking
https://sinta.kemdiktisaintek.go.id/affiliations/profile/184</t>
        </is>
      </c>
      <c r="P639" s="4" t="inlineStr">
        <is>
          <t>THE: в таблице как «Universitas Islam Negeri Professor Kiai Haji Saifuddin Zuhri (UIN Saizu) Purwokerto»;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42.958, Overall 94.433; SINTA ID 184.</t>
        </is>
      </c>
    </row>
    <row r="640">
      <c r="A640" s="3" t="inlineStr">
        <is>
          <t>Indonesia|State Islamic University of North Sumatra (UIN Sumatera Utara Medan, UINSU)</t>
        </is>
      </c>
      <c r="B640" s="3" t="inlineStr">
        <is>
          <t>Indonesia</t>
        </is>
      </c>
      <c r="C640" s="3" t="inlineStr">
        <is>
          <t>Медан</t>
        </is>
      </c>
      <c r="D640" s="3" t="inlineStr">
        <is>
          <t>State Islamic University of North Sumatra (UIN Sumatera Utara Medan, UINSU)</t>
        </is>
      </c>
      <c r="E640" s="3" t="inlineStr">
        <is>
          <t>Universitas Islam Negeri Sumatera Utara Medan</t>
        </is>
      </c>
      <c r="F640" s="3" t="inlineStr">
        <is>
          <t>https://uinsu.ac.id</t>
        </is>
      </c>
      <c r="G640" s="3" t="inlineStr"/>
      <c r="H640" s="3" t="inlineStr"/>
      <c r="I640" s="3" t="inlineStr"/>
      <c r="J640" s="4" t="inlineStr">
        <is>
          <t>не в рейтинге</t>
        </is>
      </c>
      <c r="K640" s="4" t="inlineStr">
        <is>
          <t>Reporter</t>
        </is>
      </c>
      <c r="L640" s="4" t="inlineStr">
        <is>
          <t>нет в опубл. списке (опубликован только топ-15 страны)</t>
        </is>
      </c>
      <c r="M640" s="4" t="inlineStr">
        <is>
          <t>SINTA Affiliations (сортировка по умолчанию: SINTA Score 3Yr), 2026</t>
        </is>
      </c>
      <c r="N640" s="4" t="inlineStr">
        <is>
          <t>58</t>
        </is>
      </c>
      <c r="O640" s="4" t="inlineStr">
        <is>
          <t>https://www.timeshighereducation.com/world-university-rankings/2027/world-ranking
https://sinta.kemdiktisaintek.go.id/affiliations/profile/3380</t>
        </is>
      </c>
      <c r="P640" s="4" t="inlineStr">
        <is>
          <t>THE: в таблице как «Universitas Islam Negeri Sumatera Utara»;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291.836, Overall 491.687; SINTA ID 3380.</t>
        </is>
      </c>
    </row>
    <row r="641">
      <c r="A641" s="3" t="inlineStr">
        <is>
          <t>Indonesia|State Islamic University of Sultan Syarif Kasim Riau (UIN Suska Riau)</t>
        </is>
      </c>
      <c r="B641" s="3" t="inlineStr">
        <is>
          <t>Indonesia</t>
        </is>
      </c>
      <c r="C641" s="3" t="inlineStr">
        <is>
          <t>Пеканбару</t>
        </is>
      </c>
      <c r="D641" s="3" t="inlineStr">
        <is>
          <t>State Islamic University of Sultan Syarif Kasim Riau (UIN Suska Riau)</t>
        </is>
      </c>
      <c r="E641" s="3" t="inlineStr">
        <is>
          <t>Universitas Islam Negeri Sultan Syarif Kasim Riau</t>
        </is>
      </c>
      <c r="F641" s="3" t="inlineStr">
        <is>
          <t>https://www.uin-suska.ac.id</t>
        </is>
      </c>
      <c r="G641" s="3" t="inlineStr"/>
      <c r="H641" s="3" t="inlineStr">
        <is>
          <t>THE2027 Reporter (unranked)</t>
        </is>
      </c>
      <c r="I641" s="3" t="inlineStr"/>
      <c r="J641" s="4" t="inlineStr">
        <is>
          <t>не в рейтинге</t>
        </is>
      </c>
      <c r="K641" s="4" t="inlineStr">
        <is>
          <t>Reporter</t>
        </is>
      </c>
      <c r="L641" s="4" t="inlineStr">
        <is>
          <t>нет в опубл. списке (опубликован только топ-15 страны)</t>
        </is>
      </c>
      <c r="M641" s="4" t="inlineStr">
        <is>
          <t>SINTA Affiliations (сортировка по умолчанию: SINTA Score 3Yr), 2026</t>
        </is>
      </c>
      <c r="N641" s="4" t="inlineStr">
        <is>
          <t>143</t>
        </is>
      </c>
      <c r="O641" s="4" t="inlineStr">
        <is>
          <t>https://www.timeshighereducation.com/world-university-rankings/2027/world-ranking
https://sinta.kemdiktisaintek.go.id/affiliations/profile/3514</t>
        </is>
      </c>
      <c r="P64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95.244, Overall 208.871; SINTA ID 3514.</t>
        </is>
      </c>
    </row>
    <row r="642">
      <c r="A642" s="3" t="inlineStr">
        <is>
          <t>Indonesia|State Islamic University of Sunan Gunung Djati Bandung (UIN SGD Bandung)</t>
        </is>
      </c>
      <c r="B642" s="3" t="inlineStr">
        <is>
          <t>Indonesia</t>
        </is>
      </c>
      <c r="C642" s="3" t="inlineStr">
        <is>
          <t>Бандунг</t>
        </is>
      </c>
      <c r="D642" s="3" t="inlineStr">
        <is>
          <t>State Islamic University of Sunan Gunung Djati Bandung (UIN SGD Bandung)</t>
        </is>
      </c>
      <c r="E642" s="3" t="inlineStr">
        <is>
          <t>Universitas Islam Negeri Sunan Gunung Djati Bandung</t>
        </is>
      </c>
      <c r="F642" s="3" t="inlineStr">
        <is>
          <t>https://uinsgd.ac.id</t>
        </is>
      </c>
      <c r="G642" s="3" t="inlineStr"/>
      <c r="H642" s="3" t="inlineStr">
        <is>
          <t>THE2027: 1801–2000</t>
        </is>
      </c>
      <c r="I642" s="3" t="inlineStr"/>
      <c r="J642" s="4" t="inlineStr">
        <is>
          <t>не в рейтинге</t>
        </is>
      </c>
      <c r="K642" s="4" t="inlineStr">
        <is>
          <t>1801–2000</t>
        </is>
      </c>
      <c r="L642" s="4" t="inlineStr">
        <is>
          <t>нет в опубл. списке (опубликован только топ-15 страны)</t>
        </is>
      </c>
      <c r="M642" s="4" t="inlineStr">
        <is>
          <t>SINTA Affiliations (сортировка по умолчанию: SINTA Score 3Yr), 2026</t>
        </is>
      </c>
      <c r="N642" s="4" t="inlineStr">
        <is>
          <t>57</t>
        </is>
      </c>
      <c r="O642" s="4" t="inlineStr">
        <is>
          <t>https://www.timeshighereducation.com/world-university-rankings/2027/world-ranking
https://sinta.kemdiktisaintek.go.id/affiliations/profile/3511</t>
        </is>
      </c>
      <c r="P64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292.618, Overall 602.510; SINTA ID 3511.</t>
        </is>
      </c>
    </row>
    <row r="643">
      <c r="A643" s="3" t="inlineStr">
        <is>
          <t>Indonesia|State Polytechnic of Malang (Polinema)</t>
        </is>
      </c>
      <c r="B643" s="3" t="inlineStr">
        <is>
          <t>Indonesia</t>
        </is>
      </c>
      <c r="C643" s="3" t="inlineStr">
        <is>
          <t>Маланг</t>
        </is>
      </c>
      <c r="D643" s="3" t="inlineStr">
        <is>
          <t>State Polytechnic of Malang (Polinema)</t>
        </is>
      </c>
      <c r="E643" s="3" t="inlineStr">
        <is>
          <t>Politeknik Negeri Malang</t>
        </is>
      </c>
      <c r="F643" s="3" t="inlineStr">
        <is>
          <t>https://www.polinema.ac.id</t>
        </is>
      </c>
      <c r="G643" s="3" t="inlineStr"/>
      <c r="H643" s="3" t="inlineStr"/>
      <c r="I643" s="3" t="inlineStr"/>
      <c r="J643" s="4" t="inlineStr">
        <is>
          <t>не в рейтинге</t>
        </is>
      </c>
      <c r="K643" s="4" t="inlineStr">
        <is>
          <t>Reporter</t>
        </is>
      </c>
      <c r="L643" s="4" t="inlineStr">
        <is>
          <t>нет в опубл. списке (опубликован только топ-15 страны)</t>
        </is>
      </c>
      <c r="M643" s="4" t="inlineStr">
        <is>
          <t>SINTA Affiliations (сортировка по умолчанию: SINTA Score 3Yr), 2026</t>
        </is>
      </c>
      <c r="N643" s="4" t="inlineStr">
        <is>
          <t>80</t>
        </is>
      </c>
      <c r="O643" s="4" t="inlineStr">
        <is>
          <t>https://www.timeshighereducation.com/world-university-rankings/2027/world-ranking
https://sinta.kemdiktisaintek.go.id/affiliations/profile/413</t>
        </is>
      </c>
      <c r="P64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187.944, Overall 446.416; SINTA ID 413.</t>
        </is>
      </c>
    </row>
    <row r="644">
      <c r="A644" s="3" t="inlineStr">
        <is>
          <t>Indonesia|State University of Jakarta (UNJ)</t>
        </is>
      </c>
      <c r="B644" s="3" t="inlineStr">
        <is>
          <t>Indonesia</t>
        </is>
      </c>
      <c r="C644" s="3" t="inlineStr">
        <is>
          <t>Джакарта</t>
        </is>
      </c>
      <c r="D644" s="3" t="inlineStr">
        <is>
          <t>State University of Jakarta (UNJ)</t>
        </is>
      </c>
      <c r="E644" s="3" t="inlineStr">
        <is>
          <t>Universitas Negeri Jakarta</t>
        </is>
      </c>
      <c r="F644" s="3" t="inlineStr">
        <is>
          <t>https://www.unj.ac.id</t>
        </is>
      </c>
      <c r="G644" s="3" t="inlineStr"/>
      <c r="H644" s="3" t="inlineStr">
        <is>
          <t>THE2027: 2001+</t>
        </is>
      </c>
      <c r="I644" s="3" t="inlineStr"/>
      <c r="J644" s="4" t="inlineStr">
        <is>
          <t>не в рейтинге</t>
        </is>
      </c>
      <c r="K644" s="4" t="inlineStr">
        <is>
          <t>2001+</t>
        </is>
      </c>
      <c r="L644" s="4" t="inlineStr">
        <is>
          <t>нет в опубл. списке (опубликован только топ-15 страны)</t>
        </is>
      </c>
      <c r="M644" s="4" t="inlineStr">
        <is>
          <t>SINTA Affiliations (сортировка по умолчанию: SINTA Score 3Yr), 2026</t>
        </is>
      </c>
      <c r="N644" s="4" t="inlineStr">
        <is>
          <t>36</t>
        </is>
      </c>
      <c r="O644" s="4" t="inlineStr">
        <is>
          <t>https://www.timeshighereducation.com/world-university-rankings/2027/world-ranking
https://sinta.kemdiktisaintek.go.id/affiliations/profile/435</t>
        </is>
      </c>
      <c r="P64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436.265, Overall 1.079.905; SINTA ID 435.</t>
        </is>
      </c>
    </row>
    <row r="645">
      <c r="A645" s="3" t="inlineStr">
        <is>
          <t>Indonesia|Sultan Agung Islamic University (UNISSULA)</t>
        </is>
      </c>
      <c r="B645" s="3" t="inlineStr">
        <is>
          <t>Indonesia</t>
        </is>
      </c>
      <c r="C645" s="3" t="inlineStr">
        <is>
          <t>Семаранг</t>
        </is>
      </c>
      <c r="D645" s="3" t="inlineStr">
        <is>
          <t>Sultan Agung Islamic University (UNISSULA)</t>
        </is>
      </c>
      <c r="E645" s="3" t="inlineStr">
        <is>
          <t>Universitas Islam Sultan Agung</t>
        </is>
      </c>
      <c r="F645" s="3" t="inlineStr">
        <is>
          <t>https://unissula.ac.id</t>
        </is>
      </c>
      <c r="G645" s="3" t="inlineStr"/>
      <c r="H645" s="3" t="inlineStr">
        <is>
          <t>THE2027 Reporter (unranked)</t>
        </is>
      </c>
      <c r="I645" s="3" t="inlineStr"/>
      <c r="J645" s="4" t="inlineStr">
        <is>
          <t>не в рейтинге</t>
        </is>
      </c>
      <c r="K645" s="4" t="inlineStr">
        <is>
          <t>Reporter</t>
        </is>
      </c>
      <c r="L645" s="4" t="inlineStr">
        <is>
          <t>нет в опубл. списке (опубликован только топ-15 страны)</t>
        </is>
      </c>
      <c r="M645" s="4" t="inlineStr">
        <is>
          <t>SINTA Affiliations (сортировка по умолчанию: SINTA Score 3Yr), 2026</t>
        </is>
      </c>
      <c r="N645" s="4" t="inlineStr">
        <is>
          <t>88</t>
        </is>
      </c>
      <c r="O645" s="4" t="inlineStr">
        <is>
          <t>https://www.timeshighereducation.com/world-university-rankings/2027/world-ranking
https://sinta.kemdiktisaintek.go.id/affiliations/profile/3</t>
        </is>
      </c>
      <c r="P64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171.337, Overall 359.621; SINTA ID 3.</t>
        </is>
      </c>
    </row>
    <row r="646">
      <c r="A646" s="3" t="inlineStr">
        <is>
          <t>Indonesia|Sunan Ampel State Islamic University Surabaya (UINSA)</t>
        </is>
      </c>
      <c r="B646" s="3" t="inlineStr">
        <is>
          <t>Indonesia</t>
        </is>
      </c>
      <c r="C646" s="3" t="inlineStr">
        <is>
          <t>Сурабая</t>
        </is>
      </c>
      <c r="D646" s="3" t="inlineStr">
        <is>
          <t>Sunan Ampel State Islamic University Surabaya (UINSA)</t>
        </is>
      </c>
      <c r="E646" s="3" t="inlineStr">
        <is>
          <t>Universitas Islam Negeri Sunan Ampel Surabaya</t>
        </is>
      </c>
      <c r="F646" s="3" t="inlineStr">
        <is>
          <t>https://uinsa.ac.id</t>
        </is>
      </c>
      <c r="G646" s="3" t="inlineStr"/>
      <c r="H646" s="3" t="inlineStr"/>
      <c r="I646" s="3" t="inlineStr"/>
      <c r="J646" s="4" t="inlineStr">
        <is>
          <t>не в рейтинге</t>
        </is>
      </c>
      <c r="K646" s="4" t="inlineStr">
        <is>
          <t>не в рейтинге</t>
        </is>
      </c>
      <c r="L646" s="4" t="inlineStr">
        <is>
          <t>нет в опубл. списке (опубликован только топ-15 страны)</t>
        </is>
      </c>
      <c r="M646" s="4" t="inlineStr">
        <is>
          <t>SINTA Affiliations (сортировка по умолчанию: SINTA Score 3Yr), 2026</t>
        </is>
      </c>
      <c r="N646" s="4" t="inlineStr">
        <is>
          <t>101</t>
        </is>
      </c>
      <c r="O646" s="4" t="inlineStr">
        <is>
          <t>https://sinta.kemdiktisaintek.go.id/affiliations/profile/3516</t>
        </is>
      </c>
      <c r="P64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147.182, Overall 346.596; SINTA ID 3516.</t>
        </is>
      </c>
    </row>
    <row r="647">
      <c r="A647" s="3" t="inlineStr">
        <is>
          <t>Indonesia|Sunan Kalijaga State Islamic University Yogyakarta (UIN Sunan Kalijaga)</t>
        </is>
      </c>
      <c r="B647" s="3" t="inlineStr">
        <is>
          <t>Indonesia</t>
        </is>
      </c>
      <c r="C647" s="3" t="inlineStr">
        <is>
          <t>Джокьякарта</t>
        </is>
      </c>
      <c r="D647" s="3" t="inlineStr">
        <is>
          <t>Sunan Kalijaga State Islamic University Yogyakarta (UIN Sunan Kalijaga)</t>
        </is>
      </c>
      <c r="E647" s="3" t="inlineStr">
        <is>
          <t>Universitas Islam Negeri Sunan Kalijaga Yogyakarta</t>
        </is>
      </c>
      <c r="F647" s="3" t="inlineStr">
        <is>
          <t>https://uin-suka.ac.id</t>
        </is>
      </c>
      <c r="G647" s="3" t="inlineStr"/>
      <c r="H647" s="3" t="inlineStr">
        <is>
          <t>THE2027: 801–1000</t>
        </is>
      </c>
      <c r="I647" s="3" t="inlineStr"/>
      <c r="J647" s="4" t="inlineStr">
        <is>
          <t>не в рейтинге</t>
        </is>
      </c>
      <c r="K647" s="4" t="inlineStr">
        <is>
          <t>801–1000</t>
        </is>
      </c>
      <c r="L647" s="4" t="inlineStr">
        <is>
          <t>нет в опубл. списке (опубликован только топ-15 страны)</t>
        </is>
      </c>
      <c r="M647" s="4" t="inlineStr">
        <is>
          <t>SINTA Affiliations (сортировка по умолчанию: SINTA Score 3Yr), 2026</t>
        </is>
      </c>
      <c r="N647" s="4" t="inlineStr">
        <is>
          <t>35</t>
        </is>
      </c>
      <c r="O647" s="4" t="inlineStr">
        <is>
          <t>https://www.timeshighereducation.com/world-university-rankings/2027/world-ranking
https://sinta.kemdiktisaintek.go.id/affiliations/profile/3512</t>
        </is>
      </c>
      <c r="P64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452.999, Overall 847.222; SINTA ID 3512.</t>
        </is>
      </c>
    </row>
    <row r="648">
      <c r="A648" s="3" t="inlineStr">
        <is>
          <t>Indonesia|Syarif Hidayatullah State Islamic University Jakarta (UIN Jakarta)</t>
        </is>
      </c>
      <c r="B648" s="3" t="inlineStr">
        <is>
          <t>Indonesia</t>
        </is>
      </c>
      <c r="C648" s="3" t="inlineStr">
        <is>
          <t>Южный Тангеранг (агломерация Джакарты)</t>
        </is>
      </c>
      <c r="D648" s="3" t="inlineStr">
        <is>
          <t>Syarif Hidayatullah State Islamic University Jakarta (UIN Jakarta)</t>
        </is>
      </c>
      <c r="E648" s="3" t="inlineStr">
        <is>
          <t>Universitas Islam Negeri Syarif Hidayatullah Jakarta</t>
        </is>
      </c>
      <c r="F648" s="3" t="inlineStr">
        <is>
          <t>https://www.uinjkt.ac.id</t>
        </is>
      </c>
      <c r="G648" s="3" t="inlineStr"/>
      <c r="H648" s="3" t="inlineStr">
        <is>
          <t>THE2027: 1601–1800</t>
        </is>
      </c>
      <c r="I648" s="3" t="inlineStr"/>
      <c r="J648" s="4" t="inlineStr">
        <is>
          <t>не в рейтинге</t>
        </is>
      </c>
      <c r="K648" s="4" t="inlineStr">
        <is>
          <t>1601–1800</t>
        </is>
      </c>
      <c r="L648" s="4" t="inlineStr">
        <is>
          <t>нет в опубл. списке (опубликован только топ-15 страны)</t>
        </is>
      </c>
      <c r="M648" s="4" t="inlineStr">
        <is>
          <t>SINTA Affiliations (сортировка по умолчанию: SINTA Score 3Yr), 2026</t>
        </is>
      </c>
      <c r="N648" s="4" t="inlineStr">
        <is>
          <t>34</t>
        </is>
      </c>
      <c r="O648" s="4" t="inlineStr">
        <is>
          <t>https://www.timeshighereducation.com/world-university-rankings/2027/world-ranking
https://sinta.kemdiktisaintek.go.id/affiliations/profile/400</t>
        </is>
      </c>
      <c r="P648" s="4" t="inlineStr">
        <is>
          <t>THE: в таблице как «Syarif Hidayatullah State Islamic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455.471, Overall 800.175; SINTA ID 400.</t>
        </is>
      </c>
    </row>
    <row r="649">
      <c r="A649" s="3" t="inlineStr">
        <is>
          <t>Indonesia|Tarumanagara University (UNTAR)</t>
        </is>
      </c>
      <c r="B649" s="3" t="inlineStr">
        <is>
          <t>Indonesia</t>
        </is>
      </c>
      <c r="C649" s="3" t="inlineStr">
        <is>
          <t>Джакарта</t>
        </is>
      </c>
      <c r="D649" s="3" t="inlineStr">
        <is>
          <t>Tarumanagara University (UNTAR)</t>
        </is>
      </c>
      <c r="E649" s="3" t="inlineStr">
        <is>
          <t>Universitas Tarumanagara</t>
        </is>
      </c>
      <c r="F649" s="3" t="inlineStr">
        <is>
          <t>https://www.untar.ac.id</t>
        </is>
      </c>
      <c r="G649" s="3" t="inlineStr"/>
      <c r="H649" s="3" t="inlineStr">
        <is>
          <t>THE2027 Reporter (unranked)</t>
        </is>
      </c>
      <c r="I649" s="3" t="inlineStr"/>
      <c r="J649" s="4" t="inlineStr">
        <is>
          <t>не в рейтинге</t>
        </is>
      </c>
      <c r="K649" s="4" t="inlineStr">
        <is>
          <t>Reporter</t>
        </is>
      </c>
      <c r="L649" s="4" t="inlineStr">
        <is>
          <t>нет в опубл. списке (опубликован только топ-15 страны)</t>
        </is>
      </c>
      <c r="M649" s="4" t="inlineStr">
        <is>
          <t>SINTA Affiliations (сортировка по умолчанию: SINTA Score 3Yr), 2026</t>
        </is>
      </c>
      <c r="N649" s="4" t="inlineStr">
        <is>
          <t>11</t>
        </is>
      </c>
      <c r="O649" s="4" t="inlineStr">
        <is>
          <t>https://www.timeshighereducation.com/world-university-rankings/2027/world-ranking
https://sinta.kemdiktisaintek.go.id/affiliations/profile/476</t>
        </is>
      </c>
      <c r="P649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869.880, Overall 1.439.844; SINTA ID 476.</t>
        </is>
      </c>
    </row>
    <row r="650">
      <c r="A650" s="3" t="inlineStr">
        <is>
          <t>Indonesia|Telkom University</t>
        </is>
      </c>
      <c r="B650" s="3" t="inlineStr">
        <is>
          <t>Indonesia</t>
        </is>
      </c>
      <c r="C650" s="3" t="inlineStr">
        <is>
          <t>Бандунг</t>
        </is>
      </c>
      <c r="D650" s="3" t="inlineStr">
        <is>
          <t>Telkom University</t>
        </is>
      </c>
      <c r="E650" s="3" t="inlineStr">
        <is>
          <t>Universitas Telkom</t>
        </is>
      </c>
      <c r="F650" s="3" t="inlineStr">
        <is>
          <t>https://telkomuniversity.ac.id</t>
        </is>
      </c>
      <c r="G650" s="3" t="inlineStr">
        <is>
          <t>QS2027: 1201–1400</t>
        </is>
      </c>
      <c r="H650" s="3" t="inlineStr">
        <is>
          <t>THE2027: 1601–1800</t>
        </is>
      </c>
      <c r="I650" s="3" t="inlineStr"/>
      <c r="J650" s="4" t="inlineStr">
        <is>
          <t>1201–1400</t>
        </is>
      </c>
      <c r="K650" s="4" t="inlineStr">
        <is>
          <t>1601–1800</t>
        </is>
      </c>
      <c r="L650" s="4" t="inlineStr">
        <is>
          <t>1053</t>
        </is>
      </c>
      <c r="M650" s="4" t="inlineStr">
        <is>
          <t>SINTA Affiliations (сортировка по умолчанию: SINTA Score 3Yr), 2026</t>
        </is>
      </c>
      <c r="N650" s="4" t="inlineStr">
        <is>
          <t>8</t>
        </is>
      </c>
      <c r="O65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https://sinta.kemdiktisaintek.go.id/affiliations/profile/1093</t>
        </is>
      </c>
      <c r="P65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884.038, Overall 1.862.402; SINTA ID 1093.</t>
        </is>
      </c>
    </row>
    <row r="651">
      <c r="A651" s="3" t="inlineStr">
        <is>
          <t>Indonesia|Teuku Umar University (UTU)</t>
        </is>
      </c>
      <c r="B651" s="3" t="inlineStr">
        <is>
          <t>Indonesia</t>
        </is>
      </c>
      <c r="C651" s="3" t="inlineStr">
        <is>
          <t>Мелабох (Ачех)</t>
        </is>
      </c>
      <c r="D651" s="3" t="inlineStr">
        <is>
          <t>Teuku Umar University (UTU)</t>
        </is>
      </c>
      <c r="E651" s="3" t="inlineStr">
        <is>
          <t>Universitas Teuku Umar</t>
        </is>
      </c>
      <c r="F651" s="3" t="inlineStr">
        <is>
          <t>https://utu.ac.id</t>
        </is>
      </c>
      <c r="G651" s="3" t="inlineStr"/>
      <c r="H651" s="3" t="inlineStr"/>
      <c r="I651" s="3" t="inlineStr"/>
      <c r="J651" s="4" t="inlineStr">
        <is>
          <t>не в рейтинге</t>
        </is>
      </c>
      <c r="K651" s="4" t="inlineStr">
        <is>
          <t>Reporter</t>
        </is>
      </c>
      <c r="L651" s="4" t="inlineStr">
        <is>
          <t>нет в опубл. списке (опубликован только топ-15 страны)</t>
        </is>
      </c>
      <c r="M651" s="4" t="inlineStr">
        <is>
          <t>SINTA Affiliations (сортировка по умолчанию: SINTA Score 3Yr), 2026</t>
        </is>
      </c>
      <c r="N651" s="4" t="inlineStr">
        <is>
          <t>135</t>
        </is>
      </c>
      <c r="O651" s="4" t="inlineStr">
        <is>
          <t>https://www.timeshighereducation.com/world-university-rankings/2027/world-ranking
https://sinta.kemdiktisaintek.go.id/affiliations/profile/521</t>
        </is>
      </c>
      <c r="P65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102.887, Overall 217.144; SINTA ID 521.</t>
        </is>
      </c>
    </row>
    <row r="652">
      <c r="A652" s="3" t="inlineStr">
        <is>
          <t>Indonesia|Udayana University (UNUD)</t>
        </is>
      </c>
      <c r="B652" s="3" t="inlineStr">
        <is>
          <t>Indonesia</t>
        </is>
      </c>
      <c r="C652" s="3" t="inlineStr">
        <is>
          <t>Денпасар (Бали)</t>
        </is>
      </c>
      <c r="D652" s="3" t="inlineStr">
        <is>
          <t>Udayana University (UNUD)</t>
        </is>
      </c>
      <c r="E652" s="3" t="inlineStr">
        <is>
          <t>Universitas Udayana</t>
        </is>
      </c>
      <c r="F652" s="3" t="inlineStr">
        <is>
          <t>https://www.unud.ac.id</t>
        </is>
      </c>
      <c r="G652" s="3" t="inlineStr"/>
      <c r="H652" s="3" t="inlineStr">
        <is>
          <t>THE2027: 1801–2000</t>
        </is>
      </c>
      <c r="I652" s="3" t="inlineStr"/>
      <c r="J652" s="4" t="inlineStr">
        <is>
          <t>не в рейтинге</t>
        </is>
      </c>
      <c r="K652" s="4" t="inlineStr">
        <is>
          <t>1801–2000</t>
        </is>
      </c>
      <c r="L652" s="4" t="inlineStr">
        <is>
          <t>нет в опубл. списке (опубликован только топ-15 страны)</t>
        </is>
      </c>
      <c r="M652" s="4" t="inlineStr">
        <is>
          <t>SINTA Affiliations (сортировка по умолчанию: SINTA Score 3Yr), 2026</t>
        </is>
      </c>
      <c r="N652" s="4" t="inlineStr">
        <is>
          <t>50</t>
        </is>
      </c>
      <c r="O652" s="4" t="inlineStr">
        <is>
          <t>https://www.timeshighereducation.com/world-university-rankings/2027/world-ranking
https://sinta.kemdiktisaintek.go.id/affiliations/profile/433</t>
        </is>
      </c>
      <c r="P65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310.081, Overall 1.363.613; SINTA ID 433.</t>
        </is>
      </c>
    </row>
    <row r="653">
      <c r="A653" s="3" t="inlineStr">
        <is>
          <t>Indonesia|Universitas 17 Agustus 1945 Surabaya (Untag Surabaya)</t>
        </is>
      </c>
      <c r="B653" s="3" t="inlineStr">
        <is>
          <t>Indonesia</t>
        </is>
      </c>
      <c r="C653" s="3" t="inlineStr">
        <is>
          <t>Сурабая</t>
        </is>
      </c>
      <c r="D653" s="3" t="inlineStr">
        <is>
          <t>Universitas 17 Agustus 1945 Surabaya (Untag Surabaya)</t>
        </is>
      </c>
      <c r="E653" s="3" t="inlineStr">
        <is>
          <t>Universitas 17 Agustus 1945 Surabaya</t>
        </is>
      </c>
      <c r="F653" s="3" t="inlineStr">
        <is>
          <t>https://untag-sby.ac.id</t>
        </is>
      </c>
      <c r="G653" s="3" t="inlineStr"/>
      <c r="H653" s="3" t="inlineStr"/>
      <c r="I653" s="3" t="inlineStr"/>
      <c r="J653" s="4" t="inlineStr">
        <is>
          <t>не в рейтинге</t>
        </is>
      </c>
      <c r="K653" s="4" t="inlineStr">
        <is>
          <t>Reporter</t>
        </is>
      </c>
      <c r="L653" s="4" t="inlineStr">
        <is>
          <t>нет в опубл. списке (опубликован только топ-15 страны)</t>
        </is>
      </c>
      <c r="M653" s="4" t="inlineStr">
        <is>
          <t>SINTA Affiliations (сортировка по умолчанию: SINTA Score 3Yr), 2026</t>
        </is>
      </c>
      <c r="N653" s="4" t="inlineStr">
        <is>
          <t>71</t>
        </is>
      </c>
      <c r="O653" s="4" t="inlineStr">
        <is>
          <t>https://www.timeshighereducation.com/world-university-rankings/2027/world-ranking
https://sinta.kemdiktisaintek.go.id/affiliations/profile/2036</t>
        </is>
      </c>
      <c r="P65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217.495, Overall 551.927; SINTA ID 2036.</t>
        </is>
      </c>
    </row>
    <row r="654">
      <c r="A654" s="3" t="inlineStr">
        <is>
          <t>Indonesia|Universitas Ahmad Dahlan</t>
        </is>
      </c>
      <c r="B654" s="3" t="inlineStr">
        <is>
          <t>Indonesia</t>
        </is>
      </c>
      <c r="C654" s="3" t="inlineStr">
        <is>
          <t>Джокьякарта</t>
        </is>
      </c>
      <c r="D654" s="3" t="inlineStr">
        <is>
          <t>Universitas Ahmad Dahlan</t>
        </is>
      </c>
      <c r="E654" s="3" t="inlineStr">
        <is>
          <t>Universitas Ahmad Dahlan (UAD)</t>
        </is>
      </c>
      <c r="F654" s="3" t="inlineStr">
        <is>
          <t>https://uad.ac.id</t>
        </is>
      </c>
      <c r="G654" s="3" t="inlineStr"/>
      <c r="H654" s="3" t="inlineStr">
        <is>
          <t>THE2027: 1601–1800</t>
        </is>
      </c>
      <c r="I654" s="3" t="inlineStr"/>
      <c r="J654" s="4" t="inlineStr">
        <is>
          <t>не в рейтинге</t>
        </is>
      </c>
      <c r="K654" s="4" t="inlineStr">
        <is>
          <t>1601–1800</t>
        </is>
      </c>
      <c r="L654" s="4" t="inlineStr">
        <is>
          <t>нет в опубл. списке (опубликован только топ-15 страны)</t>
        </is>
      </c>
      <c r="M654" s="4" t="inlineStr">
        <is>
          <t>SINTA Affiliations (сортировка по умолчанию: SINTA Score 3Yr), 2026</t>
        </is>
      </c>
      <c r="N654" s="4" t="inlineStr">
        <is>
          <t>52</t>
        </is>
      </c>
      <c r="O654" s="4" t="inlineStr">
        <is>
          <t>https://www.timeshighereducation.com/world-university-rankings/2027/world-ranking
https://sinta.kemdiktisaintek.go.id/affiliations/profile/386</t>
        </is>
      </c>
      <c r="P65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305.716, Overall 770.491; SINTA ID 386.</t>
        </is>
      </c>
    </row>
    <row r="655">
      <c r="A655" s="3" t="inlineStr">
        <is>
          <t>Indonesia|Universitas Andalas</t>
        </is>
      </c>
      <c r="B655" s="3" t="inlineStr">
        <is>
          <t>Indonesia</t>
        </is>
      </c>
      <c r="C655" s="3" t="inlineStr">
        <is>
          <t>Паданг</t>
        </is>
      </c>
      <c r="D655" s="3" t="inlineStr">
        <is>
          <t>Universitas Andalas</t>
        </is>
      </c>
      <c r="E655" s="3" t="inlineStr">
        <is>
          <t>Universitas Andalas</t>
        </is>
      </c>
      <c r="F655" s="3" t="inlineStr">
        <is>
          <t>https://www.unand.ac.id</t>
        </is>
      </c>
      <c r="G655" s="3" t="inlineStr">
        <is>
          <t>QS2027: 1401+</t>
        </is>
      </c>
      <c r="H655" s="3" t="inlineStr">
        <is>
          <t>THE2027: 1801–2000</t>
        </is>
      </c>
      <c r="I655" s="3" t="inlineStr"/>
      <c r="J655" s="4" t="inlineStr">
        <is>
          <t>1401+</t>
        </is>
      </c>
      <c r="K655" s="4" t="inlineStr">
        <is>
          <t>1801–2000</t>
        </is>
      </c>
      <c r="L655" s="4" t="inlineStr">
        <is>
          <t>нет в опубл. списке (опубликован только топ-15 страны)</t>
        </is>
      </c>
      <c r="M655" s="4" t="inlineStr">
        <is>
          <t>SINTA Affiliations (сортировка по умолчанию: SINTA Score 3Yr), 2026</t>
        </is>
      </c>
      <c r="N655" s="4" t="inlineStr">
        <is>
          <t>17</t>
        </is>
      </c>
      <c r="O655" s="4" t="inlineStr">
        <is>
          <t>https://www.topuniversities.com/world-university-rankings (QS WUR 2027)
https://www.timeshighereducation.com/world-university-rankings/2027/world-ranking
https://sinta.kemdiktisaintek.go.id/affiliations/profile/394</t>
        </is>
      </c>
      <c r="P65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760.499, Overall 1.961.634; SINTA ID 394.</t>
        </is>
      </c>
    </row>
    <row r="656">
      <c r="A656" s="3" t="inlineStr">
        <is>
          <t>Indonesia|Universitas Gadjah Mada (UGM)</t>
        </is>
      </c>
      <c r="B656" s="3" t="inlineStr">
        <is>
          <t>Indonesia</t>
        </is>
      </c>
      <c r="C656" s="3" t="inlineStr">
        <is>
          <t>Джокьякарта</t>
        </is>
      </c>
      <c r="D656" s="3" t="inlineStr">
        <is>
          <t>Universitas Gadjah Mada (UGM)</t>
        </is>
      </c>
      <c r="E656" s="3" t="inlineStr">
        <is>
          <t>Universitas Gadjah Mada</t>
        </is>
      </c>
      <c r="F656" s="3" t="inlineStr">
        <is>
          <t>https://ugm.ac.id</t>
        </is>
      </c>
      <c r="G656" s="3" t="inlineStr">
        <is>
          <t>QS2027: 206</t>
        </is>
      </c>
      <c r="H656" s="3" t="inlineStr">
        <is>
          <t>THE2027: 801–1000</t>
        </is>
      </c>
      <c r="I656" s="3" t="inlineStr"/>
      <c r="J656" s="4">
        <f>206</f>
        <v/>
      </c>
      <c r="K656" s="4" t="inlineStr">
        <is>
          <t>801–1000</t>
        </is>
      </c>
      <c r="L656" s="4" t="inlineStr">
        <is>
          <t>608</t>
        </is>
      </c>
      <c r="M656" s="4" t="inlineStr">
        <is>
          <t>SINTA Affiliations (сортировка по умолчанию: SINTA Score 3Yr), 2026</t>
        </is>
      </c>
      <c r="N656" s="4" t="inlineStr">
        <is>
          <t>1</t>
        </is>
      </c>
      <c r="O65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https://sinta.kemdiktisaintek.go.id/affiliations/profile/384</t>
        </is>
      </c>
      <c r="P656" s="4" t="inlineStr">
        <is>
          <t>QS: в таблице как «Gadjah Mada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1.633.886, Overall 5.514.794; SINTA ID 384.</t>
        </is>
      </c>
    </row>
    <row r="657">
      <c r="A657" s="3" t="inlineStr">
        <is>
          <t>Indonesia|Universitas Katolik Santo Thomas</t>
        </is>
      </c>
      <c r="B657" s="3" t="inlineStr">
        <is>
          <t>Indonesia</t>
        </is>
      </c>
      <c r="C657" s="3" t="inlineStr">
        <is>
          <t>Медан</t>
        </is>
      </c>
      <c r="D657" s="3" t="inlineStr">
        <is>
          <t>Universitas Katolik Santo Thomas</t>
        </is>
      </c>
      <c r="E657" s="3" t="inlineStr">
        <is>
          <t>Universitas Katolik Santo Thomas</t>
        </is>
      </c>
      <c r="F657" s="3" t="inlineStr">
        <is>
          <t>https://www.ust.ac.id</t>
        </is>
      </c>
      <c r="G657" s="3" t="inlineStr"/>
      <c r="H657" s="3" t="inlineStr">
        <is>
          <t>THE2027 Reporter (unranked)</t>
        </is>
      </c>
      <c r="I657" s="3" t="inlineStr"/>
      <c r="J657" s="4" t="inlineStr">
        <is>
          <t>не в рейтинге</t>
        </is>
      </c>
      <c r="K657" s="4" t="inlineStr">
        <is>
          <t>Reporter</t>
        </is>
      </c>
      <c r="L657" s="4" t="inlineStr">
        <is>
          <t>нет в опубл. списке (опубликован только топ-15 страны)</t>
        </is>
      </c>
      <c r="M657" s="4" t="inlineStr">
        <is>
          <t>SINTA Affiliations (сортировка по умолчанию: SINTA Score 3Yr), 2026</t>
        </is>
      </c>
      <c r="N657" s="4" t="inlineStr">
        <is>
          <t>184</t>
        </is>
      </c>
      <c r="O657" s="4" t="inlineStr">
        <is>
          <t>https://www.timeshighereducation.com/world-university-rankings/2027/world-ranking
https://sinta.kemdiktisaintek.go.id/affiliations/profile/587</t>
        </is>
      </c>
      <c r="P65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69.685, Overall 157.350; SINTA ID 587.</t>
        </is>
      </c>
    </row>
    <row r="658">
      <c r="A658" s="3" t="inlineStr">
        <is>
          <t>Indonesia|Universitas Muhammadiyah Prof. Dr. Hamka (UHAMKA)</t>
        </is>
      </c>
      <c r="B658" s="3" t="inlineStr">
        <is>
          <t>Indonesia</t>
        </is>
      </c>
      <c r="C658" s="3" t="inlineStr">
        <is>
          <t>Джакарта</t>
        </is>
      </c>
      <c r="D658" s="3" t="inlineStr">
        <is>
          <t>Universitas Muhammadiyah Prof. Dr. Hamka (UHAMKA)</t>
        </is>
      </c>
      <c r="E658" s="3" t="inlineStr">
        <is>
          <t>Universitas Muhammadiyah Prof. Dr. Hamka</t>
        </is>
      </c>
      <c r="F658" s="3" t="inlineStr">
        <is>
          <t>https://uhamka.ac.id</t>
        </is>
      </c>
      <c r="G658" s="3" t="inlineStr"/>
      <c r="H658" s="3" t="inlineStr"/>
      <c r="I658" s="3" t="inlineStr"/>
      <c r="J658" s="4" t="inlineStr">
        <is>
          <t>не в рейтинге</t>
        </is>
      </c>
      <c r="K658" s="4" t="inlineStr">
        <is>
          <t>Reporter</t>
        </is>
      </c>
      <c r="L658" s="4" t="inlineStr">
        <is>
          <t>нет в опубл. списке (опубликован только топ-15 страны)</t>
        </is>
      </c>
      <c r="M658" s="4" t="inlineStr">
        <is>
          <t>SINTA Affiliations (сортировка по умолчанию: SINTA Score 3Yr), 2026</t>
        </is>
      </c>
      <c r="N658" s="4" t="inlineStr">
        <is>
          <t>104</t>
        </is>
      </c>
      <c r="O658" s="4" t="inlineStr">
        <is>
          <t>https://www.timeshighereducation.com/world-university-rankings/2027/world-ranking
https://sinta.kemdiktisaintek.go.id/affiliations/profile/1083</t>
        </is>
      </c>
      <c r="P658" s="4" t="inlineStr">
        <is>
          <t>THE: в таблице как «Muhammadiyah University Prof. Dr. Hamka»;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133.879, Overall 361.543; SINTA ID 1083.</t>
        </is>
      </c>
    </row>
    <row r="659">
      <c r="A659" s="3" t="inlineStr">
        <is>
          <t>Indonesia|Universitas Muhammadiyah Surakarta (UMS)</t>
        </is>
      </c>
      <c r="B659" s="3" t="inlineStr">
        <is>
          <t>Indonesia</t>
        </is>
      </c>
      <c r="C659" s="3" t="inlineStr">
        <is>
          <t>Суракарта</t>
        </is>
      </c>
      <c r="D659" s="3" t="inlineStr">
        <is>
          <t>Universitas Muhammadiyah Surakarta (UMS)</t>
        </is>
      </c>
      <c r="E659" s="3" t="inlineStr">
        <is>
          <t>Universitas Muhammadiyah Surakarta</t>
        </is>
      </c>
      <c r="F659" s="3" t="inlineStr">
        <is>
          <t>https://www.ums.ac.id</t>
        </is>
      </c>
      <c r="G659" s="3" t="inlineStr"/>
      <c r="H659" s="3" t="inlineStr">
        <is>
          <t>THE2027: 1401–1600</t>
        </is>
      </c>
      <c r="I659" s="3" t="inlineStr"/>
      <c r="J659" s="4" t="inlineStr">
        <is>
          <t>не в рейтинге</t>
        </is>
      </c>
      <c r="K659" s="4" t="inlineStr">
        <is>
          <t>1401–1600</t>
        </is>
      </c>
      <c r="L659" s="4" t="inlineStr">
        <is>
          <t>нет в опубл. списке (опубликован только топ-15 страны)</t>
        </is>
      </c>
      <c r="M659" s="4" t="inlineStr">
        <is>
          <t>SINTA Affiliations (сортировка по умолчанию: SINTA Score 3Yr), 2026</t>
        </is>
      </c>
      <c r="N659" s="4" t="inlineStr">
        <is>
          <t>19</t>
        </is>
      </c>
      <c r="O659" s="4" t="inlineStr">
        <is>
          <t>https://www.timeshighereducation.com/world-university-rankings/2027/world-ranking
https://sinta.kemdiktisaintek.go.id/affiliations/profile/27</t>
        </is>
      </c>
      <c r="P659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719.605, Overall 1.559.140; SINTA ID 27.</t>
        </is>
      </c>
    </row>
    <row r="660">
      <c r="A660" s="3" t="inlineStr">
        <is>
          <t>Indonesia|Universitas Multimedia Nusantara (UMN)</t>
        </is>
      </c>
      <c r="B660" s="3" t="inlineStr">
        <is>
          <t>Indonesia</t>
        </is>
      </c>
      <c r="C660" s="3" t="inlineStr">
        <is>
          <t>Тангеранг (Гадинг-Серпонг)</t>
        </is>
      </c>
      <c r="D660" s="3" t="inlineStr">
        <is>
          <t>Universitas Multimedia Nusantara (UMN)</t>
        </is>
      </c>
      <c r="E660" s="3" t="inlineStr">
        <is>
          <t>Universitas Multimedia Nusantara</t>
        </is>
      </c>
      <c r="F660" s="3" t="inlineStr">
        <is>
          <t>https://www.umn.ac.id</t>
        </is>
      </c>
      <c r="G660" s="3" t="inlineStr"/>
      <c r="H660" s="3" t="inlineStr"/>
      <c r="I660" s="3" t="inlineStr"/>
      <c r="J660" s="4" t="inlineStr">
        <is>
          <t>не в рейтинге</t>
        </is>
      </c>
      <c r="K660" s="4" t="inlineStr">
        <is>
          <t>Reporter</t>
        </is>
      </c>
      <c r="L660" s="4" t="inlineStr">
        <is>
          <t>нет в опубл. списке (опубликован только топ-15 страны)</t>
        </is>
      </c>
      <c r="M660" s="4" t="inlineStr">
        <is>
          <t>SINTA Affiliations (сортировка по умолчанию: SINTA Score 3Yr), 2026</t>
        </is>
      </c>
      <c r="N660" s="4" t="inlineStr">
        <is>
          <t>129</t>
        </is>
      </c>
      <c r="O660" s="4" t="inlineStr">
        <is>
          <t>https://www.timeshighereducation.com/world-university-rankings/2027/world-ranking
https://sinta.kemdiktisaintek.go.id/affiliations/profile/1097</t>
        </is>
      </c>
      <c r="P66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106.379, Overall 244.718; SINTA ID 1097.</t>
        </is>
      </c>
    </row>
    <row r="661">
      <c r="A661" s="3" t="inlineStr">
        <is>
          <t>Indonesia|Universitas Negeri Padang (State University of Padang)</t>
        </is>
      </c>
      <c r="B661" s="3" t="inlineStr">
        <is>
          <t>Indonesia</t>
        </is>
      </c>
      <c r="C661" s="3" t="inlineStr">
        <is>
          <t>Паданг</t>
        </is>
      </c>
      <c r="D661" s="3" t="inlineStr">
        <is>
          <t>Universitas Negeri Padang (State University of Padang)</t>
        </is>
      </c>
      <c r="E661" s="3" t="inlineStr">
        <is>
          <t>Universitas Negeri Padang</t>
        </is>
      </c>
      <c r="F661" s="3" t="inlineStr">
        <is>
          <t>https://unp.ac.id</t>
        </is>
      </c>
      <c r="G661" s="3" t="inlineStr">
        <is>
          <t>QS2027: 1401+</t>
        </is>
      </c>
      <c r="H661" s="3" t="inlineStr">
        <is>
          <t>THE2027: 1801–2000</t>
        </is>
      </c>
      <c r="I661" s="3" t="inlineStr"/>
      <c r="J661" s="4" t="inlineStr">
        <is>
          <t>1401+</t>
        </is>
      </c>
      <c r="K661" s="4" t="inlineStr">
        <is>
          <t>1801–2000</t>
        </is>
      </c>
      <c r="L661" s="4" t="inlineStr">
        <is>
          <t>1397</t>
        </is>
      </c>
      <c r="M661" s="4" t="inlineStr">
        <is>
          <t>SINTA Affiliations (сортировка по умолчанию: SINTA Score 3Yr), 2026</t>
        </is>
      </c>
      <c r="N661" s="4" t="inlineStr">
        <is>
          <t>20</t>
        </is>
      </c>
      <c r="O66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https://sinta.kemdiktisaintek.go.id/affiliations/profile/497</t>
        </is>
      </c>
      <c r="P66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690.033, Overall 1.631.652; SINTA ID 497.</t>
        </is>
      </c>
    </row>
    <row r="662">
      <c r="A662" s="3" t="inlineStr">
        <is>
          <t>Indonesia|Universitas Negeri Semarang (Semarang State University, UNNES)</t>
        </is>
      </c>
      <c r="B662" s="3" t="inlineStr">
        <is>
          <t>Indonesia</t>
        </is>
      </c>
      <c r="C662" s="3" t="inlineStr">
        <is>
          <t>Семаранг</t>
        </is>
      </c>
      <c r="D662" s="3" t="inlineStr">
        <is>
          <t>Universitas Negeri Semarang (Semarang State University, UNNES)</t>
        </is>
      </c>
      <c r="E662" s="3" t="inlineStr">
        <is>
          <t>Universitas Negeri Semarang</t>
        </is>
      </c>
      <c r="F662" s="3" t="inlineStr">
        <is>
          <t>https://unnes.ac.id</t>
        </is>
      </c>
      <c r="G662" s="3" t="inlineStr"/>
      <c r="H662" s="3" t="inlineStr">
        <is>
          <t>THE2027: 1801–2000</t>
        </is>
      </c>
      <c r="I662" s="3" t="inlineStr"/>
      <c r="J662" s="4" t="inlineStr">
        <is>
          <t>не в рейтинге</t>
        </is>
      </c>
      <c r="K662" s="4" t="inlineStr">
        <is>
          <t>1801–2000</t>
        </is>
      </c>
      <c r="L662" s="4" t="inlineStr">
        <is>
          <t>нет в опубл. списке (опубликован только топ-15 страны)</t>
        </is>
      </c>
      <c r="M662" s="4" t="inlineStr">
        <is>
          <t>SINTA Affiliations (сортировка по умолчанию: SINTA Score 3Yr), 2026</t>
        </is>
      </c>
      <c r="N662" s="4" t="inlineStr">
        <is>
          <t>23</t>
        </is>
      </c>
      <c r="O662" s="4" t="inlineStr">
        <is>
          <t>https://www.timeshighereducation.com/world-university-rankings/2027/world-ranking
https://sinta.kemdiktisaintek.go.id/affiliations/profile/9</t>
        </is>
      </c>
      <c r="P66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616.539, Overall 1.732.497; SINTA ID 9.</t>
        </is>
      </c>
    </row>
    <row r="663">
      <c r="A663" s="3" t="inlineStr">
        <is>
          <t>Indonesia|Universitas Negeri Surabaya (State University of Surabaya, UNESA)</t>
        </is>
      </c>
      <c r="B663" s="3" t="inlineStr">
        <is>
          <t>Indonesia</t>
        </is>
      </c>
      <c r="C663" s="3" t="inlineStr">
        <is>
          <t>Сурабая</t>
        </is>
      </c>
      <c r="D663" s="3" t="inlineStr">
        <is>
          <t>Universitas Negeri Surabaya (State University of Surabaya, UNESA)</t>
        </is>
      </c>
      <c r="E663" s="3" t="inlineStr">
        <is>
          <t>Universitas Negeri Surabaya</t>
        </is>
      </c>
      <c r="F663" s="3" t="inlineStr">
        <is>
          <t>https://www.unesa.ac.id</t>
        </is>
      </c>
      <c r="G663" s="3" t="inlineStr"/>
      <c r="H663" s="3" t="inlineStr">
        <is>
          <t>THE2027: 2001+</t>
        </is>
      </c>
      <c r="I663" s="3" t="inlineStr"/>
      <c r="J663" s="4" t="inlineStr">
        <is>
          <t>не в рейтинге</t>
        </is>
      </c>
      <c r="K663" s="4" t="inlineStr">
        <is>
          <t>2001+</t>
        </is>
      </c>
      <c r="L663" s="4" t="inlineStr">
        <is>
          <t>нет в опубл. списке (опубликован только топ-15 страны)</t>
        </is>
      </c>
      <c r="M663" s="4" t="inlineStr">
        <is>
          <t>SINTA Affiliations (сортировка по умолчанию: SINTA Score 3Yr), 2026</t>
        </is>
      </c>
      <c r="N663" s="4" t="inlineStr">
        <is>
          <t>21</t>
        </is>
      </c>
      <c r="O663" s="4" t="inlineStr">
        <is>
          <t>https://www.timeshighereducation.com/world-university-rankings/2027/world-ranking
https://sinta.kemdiktisaintek.go.id/affiliations/profile/499</t>
        </is>
      </c>
      <c r="P66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643.727, Overall 1.416.352; SINTA ID 499.</t>
        </is>
      </c>
    </row>
    <row r="664">
      <c r="A664" s="3" t="inlineStr">
        <is>
          <t>Indonesia|Universitas Negeri Yogyakarta (Yogyakarta State University, UNY)</t>
        </is>
      </c>
      <c r="B664" s="3" t="inlineStr">
        <is>
          <t>Indonesia</t>
        </is>
      </c>
      <c r="C664" s="3" t="inlineStr">
        <is>
          <t>Джокьякарта</t>
        </is>
      </c>
      <c r="D664" s="3" t="inlineStr">
        <is>
          <t>Universitas Negeri Yogyakarta (Yogyakarta State University, UNY)</t>
        </is>
      </c>
      <c r="E664" s="3" t="inlineStr">
        <is>
          <t>Universitas Negeri Yogyakarta</t>
        </is>
      </c>
      <c r="F664" s="3" t="inlineStr">
        <is>
          <t>https://www.uny.ac.id</t>
        </is>
      </c>
      <c r="G664" s="3" t="inlineStr">
        <is>
          <t>QS2027: 1401+</t>
        </is>
      </c>
      <c r="H664" s="3" t="inlineStr">
        <is>
          <t>THE2027: 1801–2000</t>
        </is>
      </c>
      <c r="I664" s="3" t="inlineStr"/>
      <c r="J664" s="4" t="inlineStr">
        <is>
          <t>1401+</t>
        </is>
      </c>
      <c r="K664" s="4" t="inlineStr">
        <is>
          <t>1801–2000</t>
        </is>
      </c>
      <c r="L664" s="4" t="inlineStr">
        <is>
          <t>нет в опубл. списке (опубликован только топ-15 страны)</t>
        </is>
      </c>
      <c r="M664" s="4" t="inlineStr">
        <is>
          <t>SINTA Affiliations (сортировка по умолчанию: SINTA Score 3Yr), 2026</t>
        </is>
      </c>
      <c r="N664" s="4" t="inlineStr">
        <is>
          <t>26</t>
        </is>
      </c>
      <c r="O664" s="4" t="inlineStr">
        <is>
          <t>https://www.topuniversities.com/world-university-rankings (QS WUR 2027)
https://www.timeshighereducation.com/world-university-rankings/2027/world-ranking
https://sinta.kemdiktisaintek.go.id/affiliations/profile/381</t>
        </is>
      </c>
      <c r="P66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568.254, Overall 1.427.451; SINTA ID 381.</t>
        </is>
      </c>
    </row>
    <row r="665">
      <c r="A665" s="3" t="inlineStr">
        <is>
          <t>Indonesia|Universitas Pelita Harapan (UPH)</t>
        </is>
      </c>
      <c r="B665" s="3" t="inlineStr">
        <is>
          <t>Indonesia</t>
        </is>
      </c>
      <c r="C665" s="3" t="inlineStr">
        <is>
          <t>Тангеранг (Липпо-Караваджи)</t>
        </is>
      </c>
      <c r="D665" s="3" t="inlineStr">
        <is>
          <t>Universitas Pelita Harapan (UPH)</t>
        </is>
      </c>
      <c r="E665" s="3" t="inlineStr">
        <is>
          <t>Universitas Pelita Harapan</t>
        </is>
      </c>
      <c r="F665" s="3" t="inlineStr">
        <is>
          <t>https://www.uph.edu</t>
        </is>
      </c>
      <c r="G665" s="3" t="inlineStr"/>
      <c r="H665" s="3" t="inlineStr">
        <is>
          <t>THE2027: 1801–2000</t>
        </is>
      </c>
      <c r="I665" s="3" t="inlineStr"/>
      <c r="J665" s="4" t="inlineStr">
        <is>
          <t>не в рейтинге</t>
        </is>
      </c>
      <c r="K665" s="4" t="inlineStr">
        <is>
          <t>1801–2000</t>
        </is>
      </c>
      <c r="L665" s="4" t="inlineStr">
        <is>
          <t>нет в опубл. списке (опубликован только топ-15 страны)</t>
        </is>
      </c>
      <c r="M665" s="4" t="inlineStr">
        <is>
          <t>SINTA Affiliations (сортировка по умолчанию: SINTA Score 3Yr), 2026</t>
        </is>
      </c>
      <c r="N665" s="4" t="inlineStr">
        <is>
          <t>86</t>
        </is>
      </c>
      <c r="O665" s="4" t="inlineStr">
        <is>
          <t>https://www.timeshighereducation.com/world-university-rankings/2027/world-ranking
https://sinta.kemdiktisaintek.go.id/affiliations/profile/1081</t>
        </is>
      </c>
      <c r="P66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172.960, Overall 441.666; SINTA ID 1081.</t>
        </is>
      </c>
    </row>
    <row r="666">
      <c r="A666" s="3" t="inlineStr">
        <is>
          <t>Indonesia|Universitas Pembangunan Nasional Veteran Jakarta (UPNVJ)</t>
        </is>
      </c>
      <c r="B666" s="3" t="inlineStr">
        <is>
          <t>Indonesia</t>
        </is>
      </c>
      <c r="C666" s="3" t="inlineStr">
        <is>
          <t>Джакарта</t>
        </is>
      </c>
      <c r="D666" s="3" t="inlineStr">
        <is>
          <t>Universitas Pembangunan Nasional Veteran Jakarta (UPNVJ)</t>
        </is>
      </c>
      <c r="E666" s="3" t="inlineStr">
        <is>
          <t>Universitas Pembangunan Nasional "Veteran" Jakarta</t>
        </is>
      </c>
      <c r="F666" s="3" t="inlineStr">
        <is>
          <t>https://www.upnvj.ac.id</t>
        </is>
      </c>
      <c r="G666" s="3" t="inlineStr"/>
      <c r="H666" s="3" t="inlineStr">
        <is>
          <t>THE2027 Reporter (unranked)</t>
        </is>
      </c>
      <c r="I666" s="3" t="inlineStr"/>
      <c r="J666" s="4" t="inlineStr">
        <is>
          <t>не в рейтинге</t>
        </is>
      </c>
      <c r="K666" s="4" t="inlineStr">
        <is>
          <t>Reporter</t>
        </is>
      </c>
      <c r="L666" s="4" t="inlineStr">
        <is>
          <t>нет в опубл. списке (опубликован только топ-15 страны)</t>
        </is>
      </c>
      <c r="M666" s="4" t="inlineStr">
        <is>
          <t>SINTA Affiliations (сортировка по умолчанию: SINTA Score 3Yr), 2026</t>
        </is>
      </c>
      <c r="N666" s="4" t="inlineStr">
        <is>
          <t>76</t>
        </is>
      </c>
      <c r="O666" s="4" t="inlineStr">
        <is>
          <t>https://www.timeshighereducation.com/world-university-rankings/2027/world-ranking
https://sinta.kemdiktisaintek.go.id/affiliations/profile/525</t>
        </is>
      </c>
      <c r="P66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197.252, Overall 427.191; SINTA ID 525.</t>
        </is>
      </c>
    </row>
    <row r="667">
      <c r="A667" s="3" t="inlineStr">
        <is>
          <t>Indonesia|Universitas Pembangunan Nasional Veteran Jawa Timur (UPNVJT)</t>
        </is>
      </c>
      <c r="B667" s="3" t="inlineStr">
        <is>
          <t>Indonesia</t>
        </is>
      </c>
      <c r="C667" s="3" t="inlineStr">
        <is>
          <t>Сурабая</t>
        </is>
      </c>
      <c r="D667" s="3" t="inlineStr">
        <is>
          <t>Universitas Pembangunan Nasional Veteran Jawa Timur (UPNVJT)</t>
        </is>
      </c>
      <c r="E667" s="3" t="inlineStr">
        <is>
          <t>Universitas Pembangunan Nasional "Veteran" Jawa Timur</t>
        </is>
      </c>
      <c r="F667" s="3" t="inlineStr">
        <is>
          <t>https://upnjatim.ac.id</t>
        </is>
      </c>
      <c r="G667" s="3" t="inlineStr"/>
      <c r="H667" s="3" t="inlineStr">
        <is>
          <t>THE2027 Reporter (unranked)</t>
        </is>
      </c>
      <c r="I667" s="3" t="inlineStr"/>
      <c r="J667" s="4" t="inlineStr">
        <is>
          <t>не в рейтинге</t>
        </is>
      </c>
      <c r="K667" s="4" t="inlineStr">
        <is>
          <t>Reporter</t>
        </is>
      </c>
      <c r="L667" s="4" t="inlineStr">
        <is>
          <t>нет в опубл. списке (опубликован только топ-15 страны)</t>
        </is>
      </c>
      <c r="M667" s="4" t="inlineStr">
        <is>
          <t>SINTA Affiliations (сортировка по умолчанию: SINTA Score 3Yr), 2026</t>
        </is>
      </c>
      <c r="N667" s="4" t="inlineStr">
        <is>
          <t>62</t>
        </is>
      </c>
      <c r="O667" s="4" t="inlineStr">
        <is>
          <t>https://www.timeshighereducation.com/world-university-rankings/2027/world-ranking
https://sinta.kemdiktisaintek.go.id/affiliations/profile/523</t>
        </is>
      </c>
      <c r="P66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263.213, Overall 492.653; SINTA ID 523.</t>
        </is>
      </c>
    </row>
    <row r="668">
      <c r="A668" s="3" t="inlineStr">
        <is>
          <t>Indonesia|Universitas Pendidikan Nasional (Undiknas University)</t>
        </is>
      </c>
      <c r="B668" s="3" t="inlineStr">
        <is>
          <t>Indonesia</t>
        </is>
      </c>
      <c r="C668" s="3" t="inlineStr">
        <is>
          <t>Денпасар (Бали)</t>
        </is>
      </c>
      <c r="D668" s="3" t="inlineStr">
        <is>
          <t>Universitas Pendidikan Nasional (Undiknas University)</t>
        </is>
      </c>
      <c r="E668" s="3" t="inlineStr">
        <is>
          <t>Universitas Pendidikan Nasional</t>
        </is>
      </c>
      <c r="F668" s="3" t="inlineStr">
        <is>
          <t>https://undiknas.ac.id</t>
        </is>
      </c>
      <c r="G668" s="3" t="inlineStr"/>
      <c r="H668" s="3" t="inlineStr"/>
      <c r="I668" s="3" t="inlineStr"/>
      <c r="J668" s="4" t="inlineStr">
        <is>
          <t>не в рейтинге</t>
        </is>
      </c>
      <c r="K668" s="4" t="inlineStr">
        <is>
          <t>Reporter</t>
        </is>
      </c>
      <c r="L668" s="4" t="inlineStr">
        <is>
          <t>нет в опубл. списке (опубликован только топ-15 страны)</t>
        </is>
      </c>
      <c r="M668" s="4" t="inlineStr">
        <is>
          <t>SINTA Affiliations (сортировка по умолчанию: SINTA Score 3Yr), 2026</t>
        </is>
      </c>
      <c r="N668" s="4" t="inlineStr">
        <is>
          <t>207</t>
        </is>
      </c>
      <c r="O668" s="4" t="inlineStr">
        <is>
          <t>https://www.timeshighereducation.com/world-university-rankings/2027/world-ranking
https://sinta.kemdiktisaintek.go.id/affiliations/profile/2366</t>
        </is>
      </c>
      <c r="P668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60.886, Overall 115.877; SINTA ID 2366.</t>
        </is>
      </c>
    </row>
    <row r="669">
      <c r="A669" s="3" t="inlineStr">
        <is>
          <t>Indonesia|Universitas Pertamina</t>
        </is>
      </c>
      <c r="B669" s="3" t="inlineStr">
        <is>
          <t>Indonesia</t>
        </is>
      </c>
      <c r="C669" s="3" t="inlineStr">
        <is>
          <t>Джакарта</t>
        </is>
      </c>
      <c r="D669" s="3" t="inlineStr">
        <is>
          <t>Universitas Pertamina</t>
        </is>
      </c>
      <c r="E669" s="3" t="inlineStr">
        <is>
          <t>Universitas Pertamina</t>
        </is>
      </c>
      <c r="F669" s="3" t="inlineStr">
        <is>
          <t>https://universitaspertamina.ac.id</t>
        </is>
      </c>
      <c r="G669" s="3" t="inlineStr"/>
      <c r="H669" s="3" t="inlineStr"/>
      <c r="I669" s="3" t="inlineStr"/>
      <c r="J669" s="4" t="inlineStr">
        <is>
          <t>не в рейтинге</t>
        </is>
      </c>
      <c r="K669" s="4" t="inlineStr">
        <is>
          <t>не в рейтинге</t>
        </is>
      </c>
      <c r="L669" s="4" t="inlineStr">
        <is>
          <t>нет в опубл. списке (опубликован только топ-15 страны)</t>
        </is>
      </c>
      <c r="M669" s="4" t="inlineStr">
        <is>
          <t>SINTA Affiliations (сортировка по умолчанию: SINTA Score 3Yr), 2026</t>
        </is>
      </c>
      <c r="N669" s="4" t="inlineStr">
        <is>
          <t>289</t>
        </is>
      </c>
      <c r="O669" s="4" t="inlineStr">
        <is>
          <t>https://sinta.kemdiktisaintek.go.id/affiliations/profile/1106</t>
        </is>
      </c>
      <c r="P669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42.762, Overall 133.468; SINTA ID 1106.</t>
        </is>
      </c>
    </row>
    <row r="670">
      <c r="A670" s="3" t="inlineStr">
        <is>
          <t>Indonesia|Universitas Sebelas Maret (UNS)</t>
        </is>
      </c>
      <c r="B670" s="3" t="inlineStr">
        <is>
          <t>Indonesia</t>
        </is>
      </c>
      <c r="C670" s="3" t="inlineStr">
        <is>
          <t>Суракарта (Соло)</t>
        </is>
      </c>
      <c r="D670" s="3" t="inlineStr">
        <is>
          <t>Universitas Sebelas Maret (UNS)</t>
        </is>
      </c>
      <c r="E670" s="3" t="inlineStr">
        <is>
          <t>Universitas Sebelas Maret</t>
        </is>
      </c>
      <c r="F670" s="3" t="inlineStr">
        <is>
          <t>https://uns.ac.id</t>
        </is>
      </c>
      <c r="G670" s="3" t="inlineStr">
        <is>
          <t>QS2027: 951–1000</t>
        </is>
      </c>
      <c r="H670" s="3" t="inlineStr">
        <is>
          <t>THE2027: 1001–1200</t>
        </is>
      </c>
      <c r="I670" s="3" t="inlineStr"/>
      <c r="J670" s="4" t="inlineStr">
        <is>
          <t>951–1000</t>
        </is>
      </c>
      <c r="K670" s="4" t="inlineStr">
        <is>
          <t>1001–1200</t>
        </is>
      </c>
      <c r="L670" s="4" t="inlineStr">
        <is>
          <t>950</t>
        </is>
      </c>
      <c r="M670" s="4" t="inlineStr">
        <is>
          <t>SINTA Affiliations (сортировка по умолчанию: SINTA Score 3Yr), 2026</t>
        </is>
      </c>
      <c r="N670" s="4" t="inlineStr">
        <is>
          <t>18</t>
        </is>
      </c>
      <c r="O67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https://sinta.kemdiktisaintek.go.id/affiliations/profile/8</t>
        </is>
      </c>
      <c r="P67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724.717, Overall 2.278.162; SINTA ID 8.</t>
        </is>
      </c>
    </row>
    <row r="671">
      <c r="A671" s="3" t="inlineStr">
        <is>
          <t>Indonesia|Universitas Sumatera Utara (University of North Sumatra)</t>
        </is>
      </c>
      <c r="B671" s="3" t="inlineStr">
        <is>
          <t>Indonesia</t>
        </is>
      </c>
      <c r="C671" s="3" t="inlineStr">
        <is>
          <t>Медан</t>
        </is>
      </c>
      <c r="D671" s="3" t="inlineStr">
        <is>
          <t>Universitas Sumatera Utara (University of North Sumatra)</t>
        </is>
      </c>
      <c r="E671" s="3" t="inlineStr">
        <is>
          <t>Universitas Sumatera Utara</t>
        </is>
      </c>
      <c r="F671" s="3" t="inlineStr">
        <is>
          <t>https://www.usu.ac.id</t>
        </is>
      </c>
      <c r="G671" s="3" t="inlineStr">
        <is>
          <t>QS2027: 1001–1200</t>
        </is>
      </c>
      <c r="H671" s="3" t="inlineStr">
        <is>
          <t>THE2027: 1801–2000</t>
        </is>
      </c>
      <c r="I671" s="3" t="inlineStr"/>
      <c r="J671" s="4" t="inlineStr">
        <is>
          <t>1001–1200</t>
        </is>
      </c>
      <c r="K671" s="4" t="inlineStr">
        <is>
          <t>1801–2000</t>
        </is>
      </c>
      <c r="L671" s="4" t="inlineStr">
        <is>
          <t>нет в опубл. списке (опубликован только топ-15 страны)</t>
        </is>
      </c>
      <c r="M671" s="4" t="inlineStr">
        <is>
          <t>SINTA Affiliations (сортировка по умолчанию: SINTA Score 3Yr), 2026</t>
        </is>
      </c>
      <c r="N671" s="4" t="inlineStr">
        <is>
          <t>30</t>
        </is>
      </c>
      <c r="O671" s="4" t="inlineStr">
        <is>
          <t>https://www.topuniversities.com/world-university-rankings (QS WUR 2027)
https://www.timeshighereducation.com/world-university-rankings/2027/world-ranking
https://sinta.kemdiktisaintek.go.id/affiliations/profile/441</t>
        </is>
      </c>
      <c r="P671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486.426, Overall 1.425.331; SINTA ID 441.</t>
        </is>
      </c>
    </row>
    <row r="672">
      <c r="A672" s="3" t="inlineStr">
        <is>
          <t>Indonesia|Universitas Swadaya Gunung Jati (UGJ)</t>
        </is>
      </c>
      <c r="B672" s="3" t="inlineStr">
        <is>
          <t>Indonesia</t>
        </is>
      </c>
      <c r="C672" s="3" t="inlineStr">
        <is>
          <t>Чиребон</t>
        </is>
      </c>
      <c r="D672" s="3" t="inlineStr">
        <is>
          <t>Universitas Swadaya Gunung Jati (UGJ)</t>
        </is>
      </c>
      <c r="E672" s="3" t="inlineStr">
        <is>
          <t>Universitas Swadaya Gunung Jati</t>
        </is>
      </c>
      <c r="F672" s="3" t="inlineStr">
        <is>
          <t>https://ugj.ac.id</t>
        </is>
      </c>
      <c r="G672" s="3" t="inlineStr"/>
      <c r="H672" s="3" t="inlineStr"/>
      <c r="I672" s="3" t="inlineStr"/>
      <c r="J672" s="4" t="inlineStr">
        <is>
          <t>не в рейтинге</t>
        </is>
      </c>
      <c r="K672" s="4" t="inlineStr">
        <is>
          <t>Reporter</t>
        </is>
      </c>
      <c r="L672" s="4" t="inlineStr">
        <is>
          <t>нет в опубл. списке (опубликован только топ-15 страны)</t>
        </is>
      </c>
      <c r="M672" s="4" t="inlineStr">
        <is>
          <t>SINTA Affiliations (сортировка по умолчанию: SINTA Score 3Yr), 2026</t>
        </is>
      </c>
      <c r="N672" s="4" t="inlineStr">
        <is>
          <t>221</t>
        </is>
      </c>
      <c r="O672" s="4" t="inlineStr">
        <is>
          <t>https://www.timeshighereducation.com/world-university-rankings/2027/world-ranking
https://sinta.kemdiktisaintek.go.id/affiliations/profile/1399</t>
        </is>
      </c>
      <c r="P672" s="4" t="inlineStr">
        <is>
          <t>THE: в таблице как «Gunung Jati Swadaya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57.253, Overall 161.105; SINTA ID 1399.</t>
        </is>
      </c>
    </row>
    <row r="673">
      <c r="A673" s="3" t="inlineStr">
        <is>
          <t>Indonesia|Universitas Syiah Kuala (USK)</t>
        </is>
      </c>
      <c r="B673" s="3" t="inlineStr">
        <is>
          <t>Indonesia</t>
        </is>
      </c>
      <c r="C673" s="3" t="inlineStr">
        <is>
          <t>Банда-Ачех</t>
        </is>
      </c>
      <c r="D673" s="3" t="inlineStr">
        <is>
          <t>Universitas Syiah Kuala (USK)</t>
        </is>
      </c>
      <c r="E673" s="3" t="inlineStr">
        <is>
          <t>Universitas Syiah Kuala</t>
        </is>
      </c>
      <c r="F673" s="3" t="inlineStr">
        <is>
          <t>https://usk.ac.id</t>
        </is>
      </c>
      <c r="G673" s="3" t="inlineStr"/>
      <c r="H673" s="3" t="inlineStr">
        <is>
          <t>THE2027: 1601–1800</t>
        </is>
      </c>
      <c r="I673" s="3" t="inlineStr"/>
      <c r="J673" s="4" t="inlineStr">
        <is>
          <t>не в рейтинге</t>
        </is>
      </c>
      <c r="K673" s="4" t="inlineStr">
        <is>
          <t>1601–1800</t>
        </is>
      </c>
      <c r="L673" s="4" t="inlineStr">
        <is>
          <t>нет в опубл. списке (опубликован только топ-15 страны)</t>
        </is>
      </c>
      <c r="M673" s="4" t="inlineStr">
        <is>
          <t>SINTA Affiliations (сортировка по умолчанию: SINTA Score 3Yr), 2026</t>
        </is>
      </c>
      <c r="N673" s="4" t="inlineStr">
        <is>
          <t>42</t>
        </is>
      </c>
      <c r="O673" s="4" t="inlineStr">
        <is>
          <t>https://www.timeshighereducation.com/world-university-rankings/2027/world-ranking
https://sinta.kemdiktisaintek.go.id/affiliations/profile/442</t>
        </is>
      </c>
      <c r="P67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407.866, Overall 1.238.549; SINTA ID 442.</t>
        </is>
      </c>
    </row>
    <row r="674">
      <c r="A674" s="3" t="inlineStr">
        <is>
          <t>Indonesia|Universitas Tadulako (Untad)</t>
        </is>
      </c>
      <c r="B674" s="3" t="inlineStr">
        <is>
          <t>Indonesia</t>
        </is>
      </c>
      <c r="C674" s="3" t="inlineStr">
        <is>
          <t>Палу</t>
        </is>
      </c>
      <c r="D674" s="3" t="inlineStr">
        <is>
          <t>Universitas Tadulako (Untad)</t>
        </is>
      </c>
      <c r="E674" s="3" t="inlineStr">
        <is>
          <t>Universitas Tadulako</t>
        </is>
      </c>
      <c r="F674" s="3" t="inlineStr">
        <is>
          <t>https://untad.ac.id</t>
        </is>
      </c>
      <c r="G674" s="3" t="inlineStr"/>
      <c r="H674" s="3" t="inlineStr"/>
      <c r="I674" s="3" t="inlineStr"/>
      <c r="J674" s="4" t="inlineStr">
        <is>
          <t>не в рейтинге</t>
        </is>
      </c>
      <c r="K674" s="4" t="inlineStr">
        <is>
          <t>не в рейтинге</t>
        </is>
      </c>
      <c r="L674" s="4" t="inlineStr">
        <is>
          <t>нет в опубл. списке (опубликован только топ-15 страны)</t>
        </is>
      </c>
      <c r="M674" s="4" t="inlineStr">
        <is>
          <t>SINTA Affiliations (сортировка по умолчанию: SINTA Score 3Yr), 2026</t>
        </is>
      </c>
      <c r="N674" s="4" t="inlineStr">
        <is>
          <t>74</t>
        </is>
      </c>
      <c r="O674" s="4" t="inlineStr">
        <is>
          <t>https://sinta.kemdiktisaintek.go.id/affiliations/profile/494</t>
        </is>
      </c>
      <c r="P67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214.797, Overall 589.672; SINTA ID 494.</t>
        </is>
      </c>
    </row>
    <row r="675">
      <c r="A675" s="3" t="inlineStr">
        <is>
          <t>Indonesia|Universitas Tanjungpura (Untan)</t>
        </is>
      </c>
      <c r="B675" s="3" t="inlineStr">
        <is>
          <t>Indonesia</t>
        </is>
      </c>
      <c r="C675" s="3" t="inlineStr">
        <is>
          <t>Понтианак</t>
        </is>
      </c>
      <c r="D675" s="3" t="inlineStr">
        <is>
          <t>Universitas Tanjungpura (Untan)</t>
        </is>
      </c>
      <c r="E675" s="3" t="inlineStr">
        <is>
          <t>Universitas Tanjungpura</t>
        </is>
      </c>
      <c r="F675" s="3" t="inlineStr">
        <is>
          <t>https://untan.ac.id</t>
        </is>
      </c>
      <c r="G675" s="3" t="inlineStr"/>
      <c r="H675" s="3" t="inlineStr"/>
      <c r="I675" s="3" t="inlineStr"/>
      <c r="J675" s="4" t="inlineStr">
        <is>
          <t>не в рейтинге</t>
        </is>
      </c>
      <c r="K675" s="4" t="inlineStr">
        <is>
          <t>не в рейтинге</t>
        </is>
      </c>
      <c r="L675" s="4" t="inlineStr">
        <is>
          <t>нет в опубл. списке (опубликован только топ-15 страны)</t>
        </is>
      </c>
      <c r="M675" s="4" t="inlineStr">
        <is>
          <t>SINTA Affiliations (сортировка по умолчанию: SINTA Score 3Yr), 2026</t>
        </is>
      </c>
      <c r="N675" s="4" t="inlineStr">
        <is>
          <t>43</t>
        </is>
      </c>
      <c r="O675" s="4" t="inlineStr">
        <is>
          <t>https://sinta.kemdiktisaintek.go.id/affiliations/profile/475</t>
        </is>
      </c>
      <c r="P67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395.826, Overall 945.632; SINTA ID 475.</t>
        </is>
      </c>
    </row>
    <row r="676">
      <c r="A676" s="3" t="inlineStr">
        <is>
          <t>Indonesia|Universitas Teknokrat Indonesia (UTI)</t>
        </is>
      </c>
      <c r="B676" s="3" t="inlineStr">
        <is>
          <t>Indonesia</t>
        </is>
      </c>
      <c r="C676" s="3" t="inlineStr">
        <is>
          <t>Бандар-Лампунг</t>
        </is>
      </c>
      <c r="D676" s="3" t="inlineStr">
        <is>
          <t>Universitas Teknokrat Indonesia (UTI)</t>
        </is>
      </c>
      <c r="E676" s="3" t="inlineStr">
        <is>
          <t>Universitas Teknokrat Indonesia</t>
        </is>
      </c>
      <c r="F676" s="3" t="inlineStr">
        <is>
          <t>https://teknokrat.ac.id</t>
        </is>
      </c>
      <c r="G676" s="3" t="inlineStr"/>
      <c r="H676" s="3" t="inlineStr">
        <is>
          <t>THE2027 Reporter (unranked)</t>
        </is>
      </c>
      <c r="I676" s="3" t="inlineStr"/>
      <c r="J676" s="4" t="inlineStr">
        <is>
          <t>не в рейтинге</t>
        </is>
      </c>
      <c r="K676" s="4" t="inlineStr">
        <is>
          <t>Reporter</t>
        </is>
      </c>
      <c r="L676" s="4" t="inlineStr">
        <is>
          <t>нет в опубл. списке (опубликован только топ-15 страны)</t>
        </is>
      </c>
      <c r="M676" s="4" t="inlineStr">
        <is>
          <t>SINTA Affiliations (сортировка по умолчанию: SINTA Score 3Yr), 2026</t>
        </is>
      </c>
      <c r="N676" s="4" t="inlineStr">
        <is>
          <t>270</t>
        </is>
      </c>
      <c r="O676" s="4" t="inlineStr">
        <is>
          <t>https://www.timeshighereducation.com/world-university-rankings/2027/world-ranking
https://sinta.kemdiktisaintek.go.id/affiliations/profile/4781</t>
        </is>
      </c>
      <c r="P67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45.324, Overall 96.655; SINTA ID 4781.</t>
        </is>
      </c>
    </row>
    <row r="677">
      <c r="A677" s="3" t="inlineStr">
        <is>
          <t>Indonesia|Universitas Trunojoyo Madura (UTM)</t>
        </is>
      </c>
      <c r="B677" s="3" t="inlineStr">
        <is>
          <t>Indonesia</t>
        </is>
      </c>
      <c r="C677" s="3" t="inlineStr">
        <is>
          <t>Бангкалан (о. Мадура)</t>
        </is>
      </c>
      <c r="D677" s="3" t="inlineStr">
        <is>
          <t>Universitas Trunojoyo Madura (UTM)</t>
        </is>
      </c>
      <c r="E677" s="3" t="inlineStr">
        <is>
          <t>Universitas Trunojoyo Madura</t>
        </is>
      </c>
      <c r="F677" s="3" t="inlineStr">
        <is>
          <t>https://www.trunojoyo.ac.id</t>
        </is>
      </c>
      <c r="G677" s="3" t="inlineStr"/>
      <c r="H677" s="3" t="inlineStr">
        <is>
          <t>THE2027: 2001+</t>
        </is>
      </c>
      <c r="I677" s="3" t="inlineStr"/>
      <c r="J677" s="4" t="inlineStr">
        <is>
          <t>не в рейтинге</t>
        </is>
      </c>
      <c r="K677" s="4" t="inlineStr">
        <is>
          <t>2001+</t>
        </is>
      </c>
      <c r="L677" s="4" t="inlineStr">
        <is>
          <t>нет в опубл. списке (опубликован только топ-15 страны)</t>
        </is>
      </c>
      <c r="M677" s="4" t="inlineStr">
        <is>
          <t>SINTA Affiliations (сортировка по умолчанию: SINTA Score 3Yr), 2026</t>
        </is>
      </c>
      <c r="N677" s="4" t="inlineStr">
        <is>
          <t>82</t>
        </is>
      </c>
      <c r="O677" s="4" t="inlineStr">
        <is>
          <t>https://www.timeshighereducation.com/world-university-rankings/2027/world-ranking
https://sinta.kemdiktisaintek.go.id/affiliations/profile/502</t>
        </is>
      </c>
      <c r="P677" s="4" t="inlineStr">
        <is>
          <t>THE: в таблице как «Universitas Trunodjoyo Madura»;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186.751, Overall 410.292; SINTA ID 502.</t>
        </is>
      </c>
    </row>
    <row r="678">
      <c r="A678" s="3" t="inlineStr">
        <is>
          <t>Indonesia|University of Bengkulu (Universitas Bengkulu, UNIB)</t>
        </is>
      </c>
      <c r="B678" s="3" t="inlineStr">
        <is>
          <t>Indonesia</t>
        </is>
      </c>
      <c r="C678" s="3" t="inlineStr">
        <is>
          <t>Бенкулу</t>
        </is>
      </c>
      <c r="D678" s="3" t="inlineStr">
        <is>
          <t>University of Bengkulu (Universitas Bengkulu, UNIB)</t>
        </is>
      </c>
      <c r="E678" s="3" t="inlineStr">
        <is>
          <t>Universitas Bengkulu</t>
        </is>
      </c>
      <c r="F678" s="3" t="inlineStr">
        <is>
          <t>https://www.unib.ac.id</t>
        </is>
      </c>
      <c r="G678" s="3" t="inlineStr"/>
      <c r="H678" s="3" t="inlineStr"/>
      <c r="I678" s="3" t="inlineStr"/>
      <c r="J678" s="4" t="inlineStr">
        <is>
          <t>не в рейтинге</t>
        </is>
      </c>
      <c r="K678" s="4" t="inlineStr">
        <is>
          <t>не в рейтинге</t>
        </is>
      </c>
      <c r="L678" s="4" t="inlineStr">
        <is>
          <t>нет в опубл. списке (опубликован только топ-15 страны)</t>
        </is>
      </c>
      <c r="M678" s="4" t="inlineStr">
        <is>
          <t>SINTA Affiliations (сортировка по умолчанию: SINTA Score 3Yr), 2026</t>
        </is>
      </c>
      <c r="N678" s="4" t="inlineStr">
        <is>
          <t>67</t>
        </is>
      </c>
      <c r="O678" s="4" t="inlineStr">
        <is>
          <t>https://sinta.kemdiktisaintek.go.id/affiliations/profile/402</t>
        </is>
      </c>
      <c r="P678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239.934, Overall 621.147; SINTA ID 402.</t>
        </is>
      </c>
    </row>
    <row r="679">
      <c r="A679" s="3" t="inlineStr">
        <is>
          <t>Indonesia|University of Indonesia (Universitas Indonesia, UI)</t>
        </is>
      </c>
      <c r="B679" s="3" t="inlineStr">
        <is>
          <t>Indonesia</t>
        </is>
      </c>
      <c r="C679" s="3" t="inlineStr">
        <is>
          <t>Депок</t>
        </is>
      </c>
      <c r="D679" s="3" t="inlineStr">
        <is>
          <t>University of Indonesia (Universitas Indonesia, UI)</t>
        </is>
      </c>
      <c r="E679" s="3" t="inlineStr">
        <is>
          <t>Universitas Indonesia</t>
        </is>
      </c>
      <c r="F679" s="3" t="inlineStr">
        <is>
          <t>https://www.ui.ac.id</t>
        </is>
      </c>
      <c r="G679" s="3" t="inlineStr">
        <is>
          <t>QS2027: 191</t>
        </is>
      </c>
      <c r="H679" s="3" t="inlineStr">
        <is>
          <t>THE2027: 651–700</t>
        </is>
      </c>
      <c r="I679" s="3" t="inlineStr"/>
      <c r="J679" s="4">
        <f>191</f>
        <v/>
      </c>
      <c r="K679" s="4" t="inlineStr">
        <is>
          <t>651–700</t>
        </is>
      </c>
      <c r="L679" s="4" t="inlineStr">
        <is>
          <t>457</t>
        </is>
      </c>
      <c r="M679" s="4" t="inlineStr">
        <is>
          <t>SINTA Affiliations (сортировка по умолчанию: SINTA Score 3Yr), 2026</t>
        </is>
      </c>
      <c r="N679" s="4" t="inlineStr">
        <is>
          <t>5</t>
        </is>
      </c>
      <c r="O67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https://sinta.kemdiktisaintek.go.id/affiliations/profile/430</t>
        </is>
      </c>
      <c r="P679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1.045.919, Overall 3.685.829; SINTA ID 430.</t>
        </is>
      </c>
    </row>
    <row r="680">
      <c r="A680" s="3" t="inlineStr">
        <is>
          <t>Indonesia|University of Islam Malang (UNISMA)</t>
        </is>
      </c>
      <c r="B680" s="3" t="inlineStr">
        <is>
          <t>Indonesia</t>
        </is>
      </c>
      <c r="C680" s="3" t="inlineStr">
        <is>
          <t>Маланг</t>
        </is>
      </c>
      <c r="D680" s="3" t="inlineStr">
        <is>
          <t>University of Islam Malang (UNISMA)</t>
        </is>
      </c>
      <c r="E680" s="3" t="inlineStr">
        <is>
          <t>Universitas Islam Malang</t>
        </is>
      </c>
      <c r="F680" s="3" t="inlineStr">
        <is>
          <t>https://unisma.ac.id</t>
        </is>
      </c>
      <c r="G680" s="3" t="inlineStr"/>
      <c r="H680" s="3" t="inlineStr"/>
      <c r="I680" s="3" t="inlineStr"/>
      <c r="J680" s="4" t="inlineStr">
        <is>
          <t>не в рейтинге</t>
        </is>
      </c>
      <c r="K680" s="4" t="inlineStr">
        <is>
          <t>Reporter</t>
        </is>
      </c>
      <c r="L680" s="4" t="inlineStr">
        <is>
          <t>нет в опубл. списке (опубликован только топ-15 страны)</t>
        </is>
      </c>
      <c r="M680" s="4" t="inlineStr">
        <is>
          <t>SINTA Affiliations (сортировка по умолчанию: SINTA Score 3Yr), 2026</t>
        </is>
      </c>
      <c r="N680" s="4" t="inlineStr">
        <is>
          <t>94</t>
        </is>
      </c>
      <c r="O680" s="4" t="inlineStr">
        <is>
          <t>https://www.timeshighereducation.com/world-university-rankings/2027/world-ranking
https://sinta.kemdiktisaintek.go.id/affiliations/profile/2056</t>
        </is>
      </c>
      <c r="P680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161.386, Overall 568.436; SINTA ID 2056.</t>
        </is>
      </c>
    </row>
    <row r="681">
      <c r="A681" s="3" t="inlineStr">
        <is>
          <t>Indonesia|University of Jember (UNEJ)</t>
        </is>
      </c>
      <c r="B681" s="3" t="inlineStr">
        <is>
          <t>Indonesia</t>
        </is>
      </c>
      <c r="C681" s="3" t="inlineStr">
        <is>
          <t>Джембер</t>
        </is>
      </c>
      <c r="D681" s="3" t="inlineStr">
        <is>
          <t>University of Jember (UNEJ)</t>
        </is>
      </c>
      <c r="E681" s="3" t="inlineStr">
        <is>
          <t>Universitas Jember</t>
        </is>
      </c>
      <c r="F681" s="3" t="inlineStr">
        <is>
          <t>https://unej.ac.id</t>
        </is>
      </c>
      <c r="G681" s="3" t="inlineStr"/>
      <c r="H681" s="3" t="inlineStr">
        <is>
          <t>THE2027: 2001+</t>
        </is>
      </c>
      <c r="I681" s="3" t="inlineStr"/>
      <c r="J681" s="4" t="inlineStr">
        <is>
          <t>не в рейтинге</t>
        </is>
      </c>
      <c r="K681" s="4" t="inlineStr">
        <is>
          <t>2001+</t>
        </is>
      </c>
      <c r="L681" s="4" t="inlineStr">
        <is>
          <t>нет в опубл. списке (опубликован только топ-15 страны)</t>
        </is>
      </c>
      <c r="M681" s="4" t="inlineStr">
        <is>
          <t>SINTA Affiliations (сортировка по умолчанию: SINTA Score 3Yr), 2026</t>
        </is>
      </c>
      <c r="N681" s="4" t="inlineStr">
        <is>
          <t>31</t>
        </is>
      </c>
      <c r="O681" s="4" t="inlineStr">
        <is>
          <t>https://www.timeshighereducation.com/world-university-rankings/2027/world-ranking
https://sinta.kemdiktisaintek.go.id/affiliations/profile/406</t>
        </is>
      </c>
      <c r="P681" s="4" t="inlineStr">
        <is>
          <t>THE: в таблице как «Jember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485.205, Overall 1.270.042; SINTA ID 406.</t>
        </is>
      </c>
    </row>
    <row r="682">
      <c r="A682" s="3" t="inlineStr">
        <is>
          <t>Indonesia|University of Lampung (Unila)</t>
        </is>
      </c>
      <c r="B682" s="3" t="inlineStr">
        <is>
          <t>Indonesia</t>
        </is>
      </c>
      <c r="C682" s="3" t="inlineStr">
        <is>
          <t>Бандар-Лампунг</t>
        </is>
      </c>
      <c r="D682" s="3" t="inlineStr">
        <is>
          <t>University of Lampung (Unila)</t>
        </is>
      </c>
      <c r="E682" s="3" t="inlineStr">
        <is>
          <t>Universitas Lampung</t>
        </is>
      </c>
      <c r="F682" s="3" t="inlineStr">
        <is>
          <t>https://www.unila.ac.id</t>
        </is>
      </c>
      <c r="G682" s="3" t="inlineStr"/>
      <c r="H682" s="3" t="inlineStr">
        <is>
          <t>THE2027: 2001+</t>
        </is>
      </c>
      <c r="I682" s="3" t="inlineStr"/>
      <c r="J682" s="4" t="inlineStr">
        <is>
          <t>не в рейтинге</t>
        </is>
      </c>
      <c r="K682" s="4" t="inlineStr">
        <is>
          <t>2001+</t>
        </is>
      </c>
      <c r="L682" s="4" t="inlineStr">
        <is>
          <t>нет в опубл. списке (опубликован только топ-15 страны)</t>
        </is>
      </c>
      <c r="M682" s="4" t="inlineStr">
        <is>
          <t>SINTA Affiliations (сортировка по умолчанию: SINTA Score 3Yr), 2026</t>
        </is>
      </c>
      <c r="N682" s="4" t="inlineStr">
        <is>
          <t>32</t>
        </is>
      </c>
      <c r="O682" s="4" t="inlineStr">
        <is>
          <t>https://www.timeshighereducation.com/world-university-rankings/2027/world-ranking
https://sinta.kemdiktisaintek.go.id/affiliations/profile/398</t>
        </is>
      </c>
      <c r="P682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458.768, Overall 1.174.193; SINTA ID 398.</t>
        </is>
      </c>
    </row>
    <row r="683">
      <c r="A683" s="3" t="inlineStr">
        <is>
          <t>Indonesia|University of Mataram (UNRAM)</t>
        </is>
      </c>
      <c r="B683" s="3" t="inlineStr">
        <is>
          <t>Indonesia</t>
        </is>
      </c>
      <c r="C683" s="3" t="inlineStr">
        <is>
          <t>Матарам</t>
        </is>
      </c>
      <c r="D683" s="3" t="inlineStr">
        <is>
          <t>University of Mataram (UNRAM)</t>
        </is>
      </c>
      <c r="E683" s="3" t="inlineStr">
        <is>
          <t>Universitas Mataram</t>
        </is>
      </c>
      <c r="F683" s="3" t="inlineStr">
        <is>
          <t>https://unram.ac.id</t>
        </is>
      </c>
      <c r="G683" s="3" t="inlineStr"/>
      <c r="H683" s="3" t="inlineStr">
        <is>
          <t>THE2027: 1601–1800</t>
        </is>
      </c>
      <c r="I683" s="3" t="inlineStr"/>
      <c r="J683" s="4" t="inlineStr">
        <is>
          <t>не в рейтинге</t>
        </is>
      </c>
      <c r="K683" s="4" t="inlineStr">
        <is>
          <t>1601–1800</t>
        </is>
      </c>
      <c r="L683" s="4" t="inlineStr">
        <is>
          <t>нет в опубл. списке (опубликован только топ-15 страны)</t>
        </is>
      </c>
      <c r="M683" s="4" t="inlineStr">
        <is>
          <t>SINTA Affiliations (сортировка по умолчанию: SINTA Score 3Yr), 2026</t>
        </is>
      </c>
      <c r="N683" s="4" t="inlineStr">
        <is>
          <t>39</t>
        </is>
      </c>
      <c r="O683" s="4" t="inlineStr">
        <is>
          <t>https://www.timeshighereducation.com/world-university-rankings/2027/world-ranking
https://sinta.kemdiktisaintek.go.id/affiliations/profile/399</t>
        </is>
      </c>
      <c r="P683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419.154, Overall 1.031.205; SINTA ID 399.</t>
        </is>
      </c>
    </row>
    <row r="684">
      <c r="A684" s="3" t="inlineStr">
        <is>
          <t>Indonesia|University of Palangka Raya (UPR)</t>
        </is>
      </c>
      <c r="B684" s="3" t="inlineStr">
        <is>
          <t>Indonesia</t>
        </is>
      </c>
      <c r="C684" s="3" t="inlineStr">
        <is>
          <t>Палангкарая (Центральный Калимантан)</t>
        </is>
      </c>
      <c r="D684" s="3" t="inlineStr">
        <is>
          <t>University of Palangka Raya (UPR)</t>
        </is>
      </c>
      <c r="E684" s="3" t="inlineStr">
        <is>
          <t>Universitas Palangka Raya</t>
        </is>
      </c>
      <c r="F684" s="3" t="inlineStr">
        <is>
          <t>https://upr.ac.id</t>
        </is>
      </c>
      <c r="G684" s="3" t="inlineStr"/>
      <c r="H684" s="3" t="inlineStr"/>
      <c r="I684" s="3" t="inlineStr"/>
      <c r="J684" s="4" t="inlineStr">
        <is>
          <t>не в рейтинге</t>
        </is>
      </c>
      <c r="K684" s="4" t="inlineStr">
        <is>
          <t>не в рейтинге</t>
        </is>
      </c>
      <c r="L684" s="4" t="inlineStr">
        <is>
          <t>нет в опубл. списке (опубликован только топ-15 страны)</t>
        </is>
      </c>
      <c r="M684" s="4" t="inlineStr">
        <is>
          <t>SINTA Affiliations (сортировка по умолчанию: SINTA Score 3Yr), 2026</t>
        </is>
      </c>
      <c r="N684" s="4" t="inlineStr">
        <is>
          <t>85</t>
        </is>
      </c>
      <c r="O684" s="4" t="inlineStr">
        <is>
          <t>https://sinta.kemdiktisaintek.go.id/affiliations/profile/493</t>
        </is>
      </c>
      <c r="P684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173.229, Overall 346.793; SINTA ID 493.</t>
        </is>
      </c>
    </row>
    <row r="685">
      <c r="A685" s="3" t="inlineStr">
        <is>
          <t>Indonesia|University of Papua (Universitas Papua, UNIPA)</t>
        </is>
      </c>
      <c r="B685" s="3" t="inlineStr">
        <is>
          <t>Indonesia</t>
        </is>
      </c>
      <c r="C685" s="3" t="inlineStr">
        <is>
          <t>Маноквари</t>
        </is>
      </c>
      <c r="D685" s="3" t="inlineStr">
        <is>
          <t>University of Papua (Universitas Papua, UNIPA)</t>
        </is>
      </c>
      <c r="E685" s="3" t="inlineStr">
        <is>
          <t>Universitas Papua</t>
        </is>
      </c>
      <c r="F685" s="3" t="inlineStr">
        <is>
          <t>https://unipa.ac.id</t>
        </is>
      </c>
      <c r="G685" s="3" t="inlineStr"/>
      <c r="H685" s="3" t="inlineStr"/>
      <c r="I685" s="3" t="inlineStr"/>
      <c r="J685" s="4" t="inlineStr">
        <is>
          <t>не в рейтинге</t>
        </is>
      </c>
      <c r="K685" s="4" t="inlineStr">
        <is>
          <t>не в рейтинге</t>
        </is>
      </c>
      <c r="L685" s="4" t="inlineStr">
        <is>
          <t>нет в опубл. списке (опубликован только топ-15 страны)</t>
        </is>
      </c>
      <c r="M685" s="4" t="inlineStr">
        <is>
          <t>SINTA Affiliations (сортировка по умолчанию: SINTA Score 3Yr), 2026</t>
        </is>
      </c>
      <c r="N685" s="4" t="inlineStr">
        <is>
          <t>145</t>
        </is>
      </c>
      <c r="O685" s="4" t="inlineStr">
        <is>
          <t>https://sinta.kemdiktisaintek.go.id/affiliations/profile/506</t>
        </is>
      </c>
      <c r="P685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94.023, Overall 196.216; SINTA ID 506.</t>
        </is>
      </c>
    </row>
    <row r="686">
      <c r="A686" s="3" t="inlineStr">
        <is>
          <t>Indonesia|University of Riau (UNRI)</t>
        </is>
      </c>
      <c r="B686" s="3" t="inlineStr">
        <is>
          <t>Indonesia</t>
        </is>
      </c>
      <c r="C686" s="3" t="inlineStr">
        <is>
          <t>Пеканбару</t>
        </is>
      </c>
      <c r="D686" s="3" t="inlineStr">
        <is>
          <t>University of Riau (UNRI)</t>
        </is>
      </c>
      <c r="E686" s="3" t="inlineStr">
        <is>
          <t>Universitas Riau</t>
        </is>
      </c>
      <c r="F686" s="3" t="inlineStr">
        <is>
          <t>https://unri.ac.id</t>
        </is>
      </c>
      <c r="G686" s="3" t="inlineStr"/>
      <c r="H686" s="3" t="inlineStr"/>
      <c r="I686" s="3" t="inlineStr"/>
      <c r="J686" s="4" t="inlineStr">
        <is>
          <t>не в рейтинге</t>
        </is>
      </c>
      <c r="K686" s="4" t="inlineStr">
        <is>
          <t>не в рейтинге</t>
        </is>
      </c>
      <c r="L686" s="4" t="inlineStr">
        <is>
          <t>нет в опубл. списке (опубликован только топ-15 страны)</t>
        </is>
      </c>
      <c r="M686" s="4" t="inlineStr">
        <is>
          <t>SINTA Affiliations (сортировка по умолчанию: SINTA Score 3Yr), 2026</t>
        </is>
      </c>
      <c r="N686" s="4" t="inlineStr">
        <is>
          <t>38</t>
        </is>
      </c>
      <c r="O686" s="4" t="inlineStr">
        <is>
          <t>https://sinta.kemdiktisaintek.go.id/affiliations/profile/415</t>
        </is>
      </c>
      <c r="P686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423.038, Overall 1.249.973; SINTA ID 415.</t>
        </is>
      </c>
    </row>
    <row r="687">
      <c r="A687" s="3" t="inlineStr">
        <is>
          <t>Indonesia|University of Surabaya (Universitas Surabaya, UBAYA)</t>
        </is>
      </c>
      <c r="B687" s="3" t="inlineStr">
        <is>
          <t>Indonesia</t>
        </is>
      </c>
      <c r="C687" s="3" t="inlineStr">
        <is>
          <t>Сурабая</t>
        </is>
      </c>
      <c r="D687" s="3" t="inlineStr">
        <is>
          <t>University of Surabaya (Universitas Surabaya, UBAYA)</t>
        </is>
      </c>
      <c r="E687" s="3" t="inlineStr">
        <is>
          <t>Universitas Surabaya</t>
        </is>
      </c>
      <c r="F687" s="3" t="inlineStr">
        <is>
          <t>https://www.ubaya.ac.id</t>
        </is>
      </c>
      <c r="G687" s="3" t="inlineStr"/>
      <c r="H687" s="3" t="inlineStr"/>
      <c r="I687" s="3" t="inlineStr"/>
      <c r="J687" s="4" t="inlineStr">
        <is>
          <t>не в рейтинге</t>
        </is>
      </c>
      <c r="K687" s="4" t="inlineStr">
        <is>
          <t>Reporter</t>
        </is>
      </c>
      <c r="L687" s="4" t="inlineStr">
        <is>
          <t>нет в опубл. списке (опубликован только топ-15 страны)</t>
        </is>
      </c>
      <c r="M687" s="4" t="inlineStr">
        <is>
          <t>SINTA Affiliations (сортировка по умолчанию: SINTA Score 3Yr), 2026</t>
        </is>
      </c>
      <c r="N687" s="4" t="inlineStr">
        <is>
          <t>14</t>
        </is>
      </c>
      <c r="O687" s="4" t="inlineStr">
        <is>
          <t>https://www.timeshighereducation.com/world-university-rankings/2027/world-ranking
https://sinta.kemdiktisaintek.go.id/affiliations/profile/403</t>
        </is>
      </c>
      <c r="P687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801.367, Overall 1.468.259; SINTA ID 403.</t>
        </is>
      </c>
    </row>
    <row r="688">
      <c r="A688" s="3" t="inlineStr">
        <is>
          <t>Indonesia|Warmadewa University (Universitas Warmadewa, UNWAR)</t>
        </is>
      </c>
      <c r="B688" s="3" t="inlineStr">
        <is>
          <t>Indonesia</t>
        </is>
      </c>
      <c r="C688" s="3" t="inlineStr">
        <is>
          <t>Денпасар (Бали)</t>
        </is>
      </c>
      <c r="D688" s="3" t="inlineStr">
        <is>
          <t>Warmadewa University (Universitas Warmadewa, UNWAR)</t>
        </is>
      </c>
      <c r="E688" s="3" t="inlineStr">
        <is>
          <t>Universitas Warmadewa</t>
        </is>
      </c>
      <c r="F688" s="3" t="inlineStr">
        <is>
          <t>https://www.warmadewa.ac.id</t>
        </is>
      </c>
      <c r="G688" s="3" t="inlineStr"/>
      <c r="H688" s="3" t="inlineStr"/>
      <c r="I688" s="3" t="inlineStr"/>
      <c r="J688" s="4" t="inlineStr">
        <is>
          <t>не в рейтинге</t>
        </is>
      </c>
      <c r="K688" s="4" t="inlineStr">
        <is>
          <t>Reporter</t>
        </is>
      </c>
      <c r="L688" s="4" t="inlineStr">
        <is>
          <t>нет в опубл. списке (опубликован только топ-15 страны)</t>
        </is>
      </c>
      <c r="M688" s="4" t="inlineStr">
        <is>
          <t>SINTA Affiliations (сортировка по умолчанию: SINTA Score 3Yr), 2026</t>
        </is>
      </c>
      <c r="N688" s="4" t="inlineStr">
        <is>
          <t>95</t>
        </is>
      </c>
      <c r="O688" s="4" t="inlineStr">
        <is>
          <t>https://www.timeshighereducation.com/world-university-rankings/2027/world-ranking
https://sinta.kemdiktisaintek.go.id/affiliations/profile/2369</t>
        </is>
      </c>
      <c r="P688" s="4" t="inlineStr">
        <is>
          <t>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160.430, Overall 381.479; SINTA ID 2369.</t>
        </is>
      </c>
    </row>
    <row r="689">
      <c r="A689" s="3" t="inlineStr">
        <is>
          <t>Iran|Alzahra University</t>
        </is>
      </c>
      <c r="B689" s="3" t="inlineStr">
        <is>
          <t>Iran</t>
        </is>
      </c>
      <c r="C689" s="3" t="inlineStr">
        <is>
          <t>Тегеран</t>
        </is>
      </c>
      <c r="D689" s="3" t="inlineStr">
        <is>
          <t>Alzahra University</t>
        </is>
      </c>
      <c r="E689" s="3" t="inlineStr">
        <is>
          <t>دانشگاه الزهرا (س)</t>
        </is>
      </c>
      <c r="F689" s="3" t="inlineStr">
        <is>
          <t>https://www.alzahra.ac.ir</t>
        </is>
      </c>
      <c r="G689" s="3" t="inlineStr"/>
      <c r="H689" s="3" t="inlineStr">
        <is>
          <t>THE2027: 1601–1800</t>
        </is>
      </c>
      <c r="I689" s="3" t="inlineStr"/>
      <c r="J689" s="4" t="inlineStr">
        <is>
          <t>не в рейтинге</t>
        </is>
      </c>
      <c r="K689" s="4" t="inlineStr">
        <is>
          <t>1601–1800</t>
        </is>
      </c>
      <c r="L689" s="4" t="inlineStr">
        <is>
          <t>нет в опубл. списке (опубликован только топ-15 страны)</t>
        </is>
      </c>
      <c r="M689" s="4" t="inlineStr">
        <is>
          <t>ISC University Ranking 1403 — comprehensive universities (دانشگاه‌های جامع)</t>
        </is>
      </c>
      <c r="N689" s="4" t="inlineStr">
        <is>
          <t>25</t>
        </is>
      </c>
      <c r="O689" s="4" t="inlineStr">
        <is>
          <t>https://www.timeshighereducation.com/world-university-rankings/2027/world-ranking
https://ur.isc.ac/fa/Home/RankHome</t>
        </is>
      </c>
      <c r="P689" s="4" t="inlineStr">
        <is>
          <t>таблица «комплексные университеты» (69 вузов в таблице)</t>
        </is>
      </c>
    </row>
    <row r="690">
      <c r="A690" s="3" t="inlineStr">
        <is>
          <t>Iran|Amirkabir University of Technology (Tehran Polytechnic)</t>
        </is>
      </c>
      <c r="B690" s="3" t="inlineStr">
        <is>
          <t>Iran</t>
        </is>
      </c>
      <c r="C690" s="3" t="inlineStr">
        <is>
          <t>Тегеран</t>
        </is>
      </c>
      <c r="D690" s="3" t="inlineStr">
        <is>
          <t>Amirkabir University of Technology (Tehran Polytechnic)</t>
        </is>
      </c>
      <c r="E690" s="3" t="inlineStr">
        <is>
          <t>دانشگاه صنعتی امیرکبیر</t>
        </is>
      </c>
      <c r="F690" s="3" t="inlineStr">
        <is>
          <t>https://aut.ac.ir</t>
        </is>
      </c>
      <c r="G690" s="3" t="inlineStr">
        <is>
          <t>QS2027: 483</t>
        </is>
      </c>
      <c r="H690" s="3" t="inlineStr">
        <is>
          <t>THE2027: 401–450</t>
        </is>
      </c>
      <c r="I690" s="3" t="inlineStr"/>
      <c r="J690" s="4">
        <f>483</f>
        <v/>
      </c>
      <c r="K690" s="4" t="inlineStr">
        <is>
          <t>401–450</t>
        </is>
      </c>
      <c r="L690" s="4" t="inlineStr">
        <is>
          <t>1025</t>
        </is>
      </c>
      <c r="M690" s="4" t="inlineStr">
        <is>
          <t>ISC University Ranking 1403 — technical/industrial universities (دانشگاه‌های صنعتی)</t>
        </is>
      </c>
      <c r="N690" s="4" t="inlineStr">
        <is>
          <t>3</t>
        </is>
      </c>
      <c r="O69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https://ur.isc.ac/fa/Home/RankHome</t>
        </is>
      </c>
      <c r="P690" s="4" t="inlineStr">
        <is>
          <t>таблица «технические/промышленные университеты» (24 вузов в таблице)</t>
        </is>
      </c>
    </row>
    <row r="691">
      <c r="A691" s="3" t="inlineStr">
        <is>
          <t>Iran|Arak University</t>
        </is>
      </c>
      <c r="B691" s="3" t="inlineStr">
        <is>
          <t>Iran</t>
        </is>
      </c>
      <c r="C691" s="3" t="inlineStr">
        <is>
          <t>Арак</t>
        </is>
      </c>
      <c r="D691" s="3" t="inlineStr">
        <is>
          <t>Arak University</t>
        </is>
      </c>
      <c r="E691" s="3" t="inlineStr">
        <is>
          <t>دانشگاه اراک</t>
        </is>
      </c>
      <c r="F691" s="3" t="inlineStr">
        <is>
          <t>https://araku.ac.ir</t>
        </is>
      </c>
      <c r="G691" s="3" t="inlineStr"/>
      <c r="H691" s="3" t="inlineStr">
        <is>
          <t>THE2027: 1601–1800</t>
        </is>
      </c>
      <c r="I691" s="3" t="inlineStr"/>
      <c r="J691" s="4" t="inlineStr">
        <is>
          <t>не в рейтинге</t>
        </is>
      </c>
      <c r="K691" s="4" t="inlineStr">
        <is>
          <t>1601–1800</t>
        </is>
      </c>
      <c r="L691" s="4" t="inlineStr">
        <is>
          <t>нет в опубл. списке (опубликован только топ-15 страны)</t>
        </is>
      </c>
      <c r="M691" s="4" t="inlineStr">
        <is>
          <t>ISC University Ranking 1403 — comprehensive universities (دانشگاه‌های جامع)</t>
        </is>
      </c>
      <c r="N691" s="4" t="inlineStr">
        <is>
          <t>32</t>
        </is>
      </c>
      <c r="O691" s="4" t="inlineStr">
        <is>
          <t>https://www.timeshighereducation.com/world-university-rankings/2027/world-ranking
https://ur.isc.ac/fa/Home/RankHome</t>
        </is>
      </c>
      <c r="P691" s="4" t="inlineStr">
        <is>
          <t>таблица «комплексные университеты» (69 вузов в таблице)</t>
        </is>
      </c>
    </row>
    <row r="692">
      <c r="A692" s="3" t="inlineStr">
        <is>
          <t>Iran|Babol Noshirvani University of Technology</t>
        </is>
      </c>
      <c r="B692" s="3" t="inlineStr">
        <is>
          <t>Iran</t>
        </is>
      </c>
      <c r="C692" s="3" t="inlineStr">
        <is>
          <t>Бабол</t>
        </is>
      </c>
      <c r="D692" s="3" t="inlineStr">
        <is>
          <t>Babol Noshirvani University of Technology</t>
        </is>
      </c>
      <c r="E692" s="3" t="inlineStr">
        <is>
          <t>دانشگاه صنعتی نوشیروانی بابل</t>
        </is>
      </c>
      <c r="F692" s="3" t="inlineStr">
        <is>
          <t>https://nit.ac.ir/en</t>
        </is>
      </c>
      <c r="G692" s="3" t="inlineStr"/>
      <c r="H692" s="3" t="inlineStr">
        <is>
          <t>THE2027: 701–800</t>
        </is>
      </c>
      <c r="I692" s="3" t="inlineStr"/>
      <c r="J692" s="4" t="inlineStr">
        <is>
          <t>не в рейтинге</t>
        </is>
      </c>
      <c r="K692" s="4" t="inlineStr">
        <is>
          <t>701–800</t>
        </is>
      </c>
      <c r="L692" s="4" t="inlineStr">
        <is>
          <t>нет в опубл. списке (опубликован только топ-15 страны)</t>
        </is>
      </c>
      <c r="M692" s="4" t="inlineStr">
        <is>
          <t>ISC University Ranking 1403 — technical/industrial universities (دانشگاه‌های صنعتی)</t>
        </is>
      </c>
      <c r="N692" s="4" t="inlineStr">
        <is>
          <t>7</t>
        </is>
      </c>
      <c r="O692" s="4" t="inlineStr">
        <is>
          <t>https://www.timeshighereducation.com/world-university-rankings/2027/world-ranking
https://ur.isc.ac/fa/Home/RankHome</t>
        </is>
      </c>
      <c r="P692" s="4" t="inlineStr">
        <is>
          <t>таблица «технические/промышленные университеты» (24 вузов в таблице)</t>
        </is>
      </c>
    </row>
    <row r="693">
      <c r="A693" s="3" t="inlineStr">
        <is>
          <t>Iran|Birjand University of Technology</t>
        </is>
      </c>
      <c r="B693" s="3" t="inlineStr">
        <is>
          <t>Iran</t>
        </is>
      </c>
      <c r="C693" s="3" t="inlineStr">
        <is>
          <t>Бирджанд</t>
        </is>
      </c>
      <c r="D693" s="3" t="inlineStr">
        <is>
          <t>Birjand University of Technology</t>
        </is>
      </c>
      <c r="E693" s="3" t="inlineStr">
        <is>
          <t>دانشگاه صنعتی بیرجند</t>
        </is>
      </c>
      <c r="F693" s="3" t="inlineStr">
        <is>
          <t>https://birjandut.ac.ir</t>
        </is>
      </c>
      <c r="G693" s="3" t="inlineStr"/>
      <c r="H693" s="3" t="inlineStr"/>
      <c r="I693" s="3" t="inlineStr"/>
      <c r="J693" s="4" t="inlineStr">
        <is>
          <t>не в рейтинге</t>
        </is>
      </c>
      <c r="K693" s="4" t="inlineStr">
        <is>
          <t>не в рейтинге</t>
        </is>
      </c>
      <c r="L693" s="4" t="inlineStr">
        <is>
          <t>нет в опубл. списке (опубликован только топ-15 страны)</t>
        </is>
      </c>
      <c r="M693" s="4" t="inlineStr">
        <is>
          <t>ISC University Ranking 1403 — technical/industrial universities (دانشگاه‌های صنعتی)</t>
        </is>
      </c>
      <c r="N693" s="4" t="inlineStr">
        <is>
          <t>22</t>
        </is>
      </c>
      <c r="O693" s="4" t="inlineStr">
        <is>
          <t>https://ur.isc.ac/fa/Home/RankHome</t>
        </is>
      </c>
      <c r="P693" s="4" t="inlineStr">
        <is>
          <t>таблица «технические/промышленные университеты» (24 вузов в таблице)</t>
        </is>
      </c>
    </row>
    <row r="694">
      <c r="A694" s="3" t="inlineStr">
        <is>
          <t>Iran|Bu-Ali Sina University</t>
        </is>
      </c>
      <c r="B694" s="3" t="inlineStr">
        <is>
          <t>Iran</t>
        </is>
      </c>
      <c r="C694" s="3" t="inlineStr">
        <is>
          <t>Хамадан</t>
        </is>
      </c>
      <c r="D694" s="3" t="inlineStr">
        <is>
          <t>Bu-Ali Sina University</t>
        </is>
      </c>
      <c r="E694" s="3" t="inlineStr">
        <is>
          <t>دانشگاه بوعلی سینا</t>
        </is>
      </c>
      <c r="F694" s="3" t="inlineStr">
        <is>
          <t>https://basu.ac.ir</t>
        </is>
      </c>
      <c r="G694" s="3" t="inlineStr"/>
      <c r="H694" s="3" t="inlineStr">
        <is>
          <t>THE2027: 1401–1600</t>
        </is>
      </c>
      <c r="I694" s="3" t="inlineStr"/>
      <c r="J694" s="4" t="inlineStr">
        <is>
          <t>не в рейтинге</t>
        </is>
      </c>
      <c r="K694" s="4" t="inlineStr">
        <is>
          <t>1401–1600</t>
        </is>
      </c>
      <c r="L694" s="4" t="inlineStr">
        <is>
          <t>нет в опубл. списке (опубликован только топ-15 страны)</t>
        </is>
      </c>
      <c r="M694" s="4" t="inlineStr">
        <is>
          <t>ISC University Ranking 1403 — comprehensive universities (دانشگاه‌های جامع)</t>
        </is>
      </c>
      <c r="N694" s="4" t="inlineStr">
        <is>
          <t>23</t>
        </is>
      </c>
      <c r="O694" s="4" t="inlineStr">
        <is>
          <t>https://www.timeshighereducation.com/world-university-rankings/2027/world-ranking
https://ur.isc.ac/fa/Home/RankHome</t>
        </is>
      </c>
      <c r="P694" s="4" t="inlineStr">
        <is>
          <t>таблица «комплексные университеты» (69 вузов в таблице); делит место с: دانشگاه قم</t>
        </is>
      </c>
    </row>
    <row r="695">
      <c r="A695" s="3" t="inlineStr">
        <is>
          <t>Iran|Bushehr University of Medical Sciences (BPUMS)</t>
        </is>
      </c>
      <c r="B695" s="3" t="inlineStr">
        <is>
          <t>Iran</t>
        </is>
      </c>
      <c r="C695" s="3" t="inlineStr">
        <is>
          <t>Бушехр</t>
        </is>
      </c>
      <c r="D695" s="3" t="inlineStr">
        <is>
          <t>Bushehr University of Medical Sciences (BPUMS)</t>
        </is>
      </c>
      <c r="E695" s="3" t="inlineStr">
        <is>
          <t>دانشگاه علوم پزشکی و خدمات بهداشتی درمانی بوشهر</t>
        </is>
      </c>
      <c r="F695" s="3" t="inlineStr">
        <is>
          <t>https://bpums.ac.ir</t>
        </is>
      </c>
      <c r="G695" s="3" t="inlineStr"/>
      <c r="H695" s="3" t="inlineStr">
        <is>
          <t>THE2027: 701–800</t>
        </is>
      </c>
      <c r="I695" s="3" t="inlineStr"/>
      <c r="J695" s="4" t="inlineStr">
        <is>
          <t>не в рейтинге</t>
        </is>
      </c>
      <c r="K695" s="4" t="inlineStr">
        <is>
          <t>701–800</t>
        </is>
      </c>
      <c r="L695" s="4" t="inlineStr">
        <is>
          <t>нет в опубл. списке (опубликован только топ-15 страны)</t>
        </is>
      </c>
      <c r="M695" s="4" t="inlineStr">
        <is>
          <t>ISC University Ranking 1403</t>
        </is>
      </c>
      <c r="N695" s="4" t="inlineStr">
        <is>
          <t>не в рейтинге</t>
        </is>
      </c>
      <c r="O695" s="4" t="inlineStr">
        <is>
          <t>https://www.timeshighereducation.com/world-university-rankings/2027/world-ranking
https://ur.isc.ac/fa/Home/RankHome</t>
        </is>
      </c>
      <c r="P695" s="4" t="inlineStr">
        <is>
          <t>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медицинские.</t>
        </is>
      </c>
    </row>
    <row r="696">
      <c r="A696" s="3" t="inlineStr">
        <is>
          <t>Iran|Damghan University</t>
        </is>
      </c>
      <c r="B696" s="3" t="inlineStr">
        <is>
          <t>Iran</t>
        </is>
      </c>
      <c r="C696" s="3" t="inlineStr">
        <is>
          <t>Дамган</t>
        </is>
      </c>
      <c r="D696" s="3" t="inlineStr">
        <is>
          <t>Damghan University</t>
        </is>
      </c>
      <c r="E696" s="3" t="inlineStr">
        <is>
          <t>دانشگاه دامغان</t>
        </is>
      </c>
      <c r="F696" s="3" t="inlineStr">
        <is>
          <t>https://du.ac.ir</t>
        </is>
      </c>
      <c r="G696" s="3" t="inlineStr"/>
      <c r="H696" s="3" t="inlineStr">
        <is>
          <t>THE2027: 1801–2000</t>
        </is>
      </c>
      <c r="I696" s="3" t="inlineStr"/>
      <c r="J696" s="4" t="inlineStr">
        <is>
          <t>не в рейтинге</t>
        </is>
      </c>
      <c r="K696" s="4" t="inlineStr">
        <is>
          <t>1801–2000</t>
        </is>
      </c>
      <c r="L696" s="4" t="inlineStr">
        <is>
          <t>нет в опубл. списке (опубликован только топ-15 страны)</t>
        </is>
      </c>
      <c r="M696" s="4" t="inlineStr">
        <is>
          <t>ISC University Ranking 1403 — comprehensive universities (دانشگاه‌های جامع)</t>
        </is>
      </c>
      <c r="N696" s="4" t="inlineStr">
        <is>
          <t>40</t>
        </is>
      </c>
      <c r="O696" s="4" t="inlineStr">
        <is>
          <t>https://www.timeshighereducation.com/world-university-rankings/2027/world-ranking
https://ur.isc.ac/fa/Home/RankHome</t>
        </is>
      </c>
      <c r="P696" s="4" t="inlineStr">
        <is>
          <t>таблица «комплексные университеты» (69 вузов в таблице)</t>
        </is>
      </c>
    </row>
    <row r="697">
      <c r="A697" s="3" t="inlineStr">
        <is>
          <t>Iran|Hakim Sabzevari University</t>
        </is>
      </c>
      <c r="B697" s="3" t="inlineStr">
        <is>
          <t>Iran</t>
        </is>
      </c>
      <c r="C697" s="3" t="inlineStr">
        <is>
          <t>Сабзевар</t>
        </is>
      </c>
      <c r="D697" s="3" t="inlineStr">
        <is>
          <t>Hakim Sabzevari University</t>
        </is>
      </c>
      <c r="E697" s="3" t="inlineStr">
        <is>
          <t>دانشگاه حکیم سبزواری</t>
        </is>
      </c>
      <c r="F697" s="3" t="inlineStr">
        <is>
          <t>https://www.hsu.ac.ir</t>
        </is>
      </c>
      <c r="G697" s="3" t="inlineStr"/>
      <c r="H697" s="3" t="inlineStr">
        <is>
          <t>THE2027: 1201–1400</t>
        </is>
      </c>
      <c r="I697" s="3" t="inlineStr"/>
      <c r="J697" s="4" t="inlineStr">
        <is>
          <t>не в рейтинге</t>
        </is>
      </c>
      <c r="K697" s="4" t="inlineStr">
        <is>
          <t>1201–1400</t>
        </is>
      </c>
      <c r="L697" s="4" t="inlineStr">
        <is>
          <t>нет в опубл. списке (опубликован только топ-15 страны)</t>
        </is>
      </c>
      <c r="M697" s="4" t="inlineStr">
        <is>
          <t>ISC University Ranking 1403 — comprehensive universities (دانشگاه‌های جامع)</t>
        </is>
      </c>
      <c r="N697" s="4" t="inlineStr">
        <is>
          <t>31</t>
        </is>
      </c>
      <c r="O697" s="4" t="inlineStr">
        <is>
          <t>https://www.timeshighereducation.com/world-university-rankings/2027/world-ranking
https://ur.isc.ac/fa/Home/RankHome</t>
        </is>
      </c>
      <c r="P697" s="4" t="inlineStr">
        <is>
          <t>таблица «комплексные университеты» (69 вузов в таблице)</t>
        </is>
      </c>
    </row>
    <row r="698">
      <c r="A698" s="3" t="inlineStr">
        <is>
          <t>Iran|Hamedan University of Technology</t>
        </is>
      </c>
      <c r="B698" s="3" t="inlineStr">
        <is>
          <t>Iran</t>
        </is>
      </c>
      <c r="C698" s="3" t="inlineStr">
        <is>
          <t>Хамадан</t>
        </is>
      </c>
      <c r="D698" s="3" t="inlineStr">
        <is>
          <t>Hamedan University of Technology</t>
        </is>
      </c>
      <c r="E698" s="3" t="inlineStr">
        <is>
          <t>دانشگاه صنعتی همدان</t>
        </is>
      </c>
      <c r="F698" s="3" t="inlineStr">
        <is>
          <t>https://hut.ac.ir</t>
        </is>
      </c>
      <c r="G698" s="3" t="inlineStr"/>
      <c r="H698" s="3" t="inlineStr"/>
      <c r="I698" s="3" t="inlineStr"/>
      <c r="J698" s="4" t="inlineStr">
        <is>
          <t>не в рейтинге</t>
        </is>
      </c>
      <c r="K698" s="4" t="inlineStr">
        <is>
          <t>не в рейтинге</t>
        </is>
      </c>
      <c r="L698" s="4" t="inlineStr">
        <is>
          <t>нет в опубл. списке (опубликован только топ-15 страны)</t>
        </is>
      </c>
      <c r="M698" s="4" t="inlineStr">
        <is>
          <t>ISC University Ranking 1403 — technical/industrial universities (دانشگاه‌های صنعتی)</t>
        </is>
      </c>
      <c r="N698" s="4" t="inlineStr">
        <is>
          <t>17</t>
        </is>
      </c>
      <c r="O698" s="4" t="inlineStr">
        <is>
          <t>https://ur.isc.ac/fa/Home/RankHome</t>
        </is>
      </c>
      <c r="P698" s="4" t="inlineStr">
        <is>
          <t>таблица «технические/промышленные университеты» (24 вузов в таблице); делит место с: دانشگاه صنعتی خاتم الانبیاء بهبهان</t>
        </is>
      </c>
    </row>
    <row r="699">
      <c r="A699" s="3" t="inlineStr">
        <is>
          <t>Iran|Institute for Advanced Studies in Basic Sciences (IASBS)</t>
        </is>
      </c>
      <c r="B699" s="3" t="inlineStr">
        <is>
          <t>Iran</t>
        </is>
      </c>
      <c r="C699" s="3" t="inlineStr">
        <is>
          <t>Занджан</t>
        </is>
      </c>
      <c r="D699" s="3" t="inlineStr">
        <is>
          <t>Institute for Advanced Studies in Basic Sciences (IASBS)</t>
        </is>
      </c>
      <c r="E699" s="3" t="inlineStr">
        <is>
          <t>دانشگاه تحصیلات تکمیلی علوم پایه زنجان</t>
        </is>
      </c>
      <c r="F699" s="3" t="inlineStr">
        <is>
          <t>https://iasbs.ac.ir</t>
        </is>
      </c>
      <c r="G699" s="3" t="inlineStr"/>
      <c r="H699" s="3" t="inlineStr">
        <is>
          <t>THE2027: 1401–1600</t>
        </is>
      </c>
      <c r="I699" s="3" t="inlineStr"/>
      <c r="J699" s="4" t="inlineStr">
        <is>
          <t>не в рейтинге</t>
        </is>
      </c>
      <c r="K699" s="4" t="inlineStr">
        <is>
          <t>1401–1600</t>
        </is>
      </c>
      <c r="L699" s="4" t="inlineStr">
        <is>
          <t>нет в опубл. списке (опубликован только топ-15 страны)</t>
        </is>
      </c>
      <c r="M699" s="4" t="inlineStr">
        <is>
          <t>ISC University Ranking 1403 — comprehensive universities (دانشگاه‌های جامع)</t>
        </is>
      </c>
      <c r="N699" s="4" t="inlineStr">
        <is>
          <t>9</t>
        </is>
      </c>
      <c r="O699" s="4" t="inlineStr">
        <is>
          <t>https://www.timeshighereducation.com/world-university-rankings/2027/world-ranking
https://ur.isc.ac/fa/Home/RankHome</t>
        </is>
      </c>
      <c r="P699" s="4" t="inlineStr">
        <is>
          <t>таблица «комплексные университеты» (69 вузов в таблице)</t>
        </is>
      </c>
    </row>
    <row r="700">
      <c r="A700" s="3" t="inlineStr">
        <is>
          <t>Iran|Iran University of Medical Sciences</t>
        </is>
      </c>
      <c r="B700" s="3" t="inlineStr">
        <is>
          <t>Iran</t>
        </is>
      </c>
      <c r="C700" s="3" t="inlineStr">
        <is>
          <t>Тегеран</t>
        </is>
      </c>
      <c r="D700" s="3" t="inlineStr">
        <is>
          <t>Iran University of Medical Sciences</t>
        </is>
      </c>
      <c r="E700" s="3" t="inlineStr">
        <is>
          <t>دانشگاه علوم پزشکی ایران</t>
        </is>
      </c>
      <c r="F700" s="3" t="inlineStr">
        <is>
          <t>https://iums.ac.ir</t>
        </is>
      </c>
      <c r="G700" s="3" t="inlineStr"/>
      <c r="H700" s="3" t="inlineStr">
        <is>
          <t>THE2027: 701–800</t>
        </is>
      </c>
      <c r="I700" s="3" t="inlineStr"/>
      <c r="J700" s="4" t="inlineStr">
        <is>
          <t>не в рейтинге</t>
        </is>
      </c>
      <c r="K700" s="4" t="inlineStr">
        <is>
          <t>701–800</t>
        </is>
      </c>
      <c r="L700" s="4" t="inlineStr">
        <is>
          <t>1001</t>
        </is>
      </c>
      <c r="M700" s="4" t="inlineStr">
        <is>
          <t>ISC University Ranking 1403</t>
        </is>
      </c>
      <c r="N700" s="4" t="inlineStr">
        <is>
          <t>не в рейтинге</t>
        </is>
      </c>
      <c r="O700" s="4" t="inlineStr">
        <is>
          <t>https://www.timeshighereducation.com/world-university-rankings/2027/world-ranking
https://figshare.com/articles/preprint/Ranking_Web_of_Universities_webometrics_info_July_2026_edition/33062150
https://ur.isc.ac/fa/Home/RankHome</t>
        </is>
      </c>
      <c r="P700" s="4" t="inlineStr">
        <is>
          <t>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медицинские.</t>
        </is>
      </c>
    </row>
    <row r="701">
      <c r="A701" s="3" t="inlineStr">
        <is>
          <t>Iran|Isfahan University of Medical Sciences</t>
        </is>
      </c>
      <c r="B701" s="3" t="inlineStr">
        <is>
          <t>Iran</t>
        </is>
      </c>
      <c r="C701" s="3" t="inlineStr">
        <is>
          <t>Исфахан</t>
        </is>
      </c>
      <c r="D701" s="3" t="inlineStr">
        <is>
          <t>Isfahan University of Medical Sciences</t>
        </is>
      </c>
      <c r="E701" s="3" t="inlineStr">
        <is>
          <t>دانشگاه علوم پزشکی و خدمات بهداشتی درمانی اصفهان</t>
        </is>
      </c>
      <c r="F701" s="3" t="inlineStr">
        <is>
          <t>https://mui.ac.ir</t>
        </is>
      </c>
      <c r="G701" s="3" t="inlineStr"/>
      <c r="H701" s="3" t="inlineStr">
        <is>
          <t>THE2027: 701–800</t>
        </is>
      </c>
      <c r="I701" s="3" t="inlineStr"/>
      <c r="J701" s="4" t="inlineStr">
        <is>
          <t>не в рейтинге</t>
        </is>
      </c>
      <c r="K701" s="4" t="inlineStr">
        <is>
          <t>701–800</t>
        </is>
      </c>
      <c r="L701" s="4" t="inlineStr">
        <is>
          <t>1305</t>
        </is>
      </c>
      <c r="M701" s="4" t="inlineStr">
        <is>
          <t>ISC University Ranking 1403</t>
        </is>
      </c>
      <c r="N701" s="4" t="inlineStr">
        <is>
          <t>не в рейтинге</t>
        </is>
      </c>
      <c r="O701" s="4" t="inlineStr">
        <is>
          <t>https://www.timeshighereducation.com/world-university-rankings/2027/world-ranking
https://figshare.com/articles/preprint/Ranking_Web_of_Universities_webometrics_info_July_2026_edition/33062150
https://ur.isc.ac/fa/Home/RankHome</t>
        </is>
      </c>
      <c r="P701" s="4" t="inlineStr">
        <is>
          <t>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медицинские.</t>
        </is>
      </c>
    </row>
    <row r="702">
      <c r="A702" s="3" t="inlineStr">
        <is>
          <t>Iran|Isfahan University of Technology</t>
        </is>
      </c>
      <c r="B702" s="3" t="inlineStr">
        <is>
          <t>Iran</t>
        </is>
      </c>
      <c r="C702" s="3" t="inlineStr">
        <is>
          <t>Исфахан</t>
        </is>
      </c>
      <c r="D702" s="3" t="inlineStr">
        <is>
          <t>Isfahan University of Technology</t>
        </is>
      </c>
      <c r="E702" s="3" t="inlineStr">
        <is>
          <t>دانشگاه صنعتی اصفهان</t>
        </is>
      </c>
      <c r="F702" s="3" t="inlineStr">
        <is>
          <t>https://english.iut.ac.ir</t>
        </is>
      </c>
      <c r="G702" s="3" t="inlineStr">
        <is>
          <t>QS2027: 620</t>
        </is>
      </c>
      <c r="H702" s="3" t="inlineStr">
        <is>
          <t>THE2027: 701–800</t>
        </is>
      </c>
      <c r="I702" s="3" t="inlineStr"/>
      <c r="J702" s="4">
        <f>620</f>
        <v/>
      </c>
      <c r="K702" s="4" t="inlineStr">
        <is>
          <t>701–800</t>
        </is>
      </c>
      <c r="L702" s="4" t="inlineStr">
        <is>
          <t>нет в опубл. списке (опубликован только топ-15 страны)</t>
        </is>
      </c>
      <c r="M702" s="4" t="inlineStr">
        <is>
          <t>ISC University Ranking 1403 — technical/industrial universities (دانشگاه‌های صنعتی)</t>
        </is>
      </c>
      <c r="N702" s="4" t="inlineStr">
        <is>
          <t>5</t>
        </is>
      </c>
      <c r="O702" s="4" t="inlineStr">
        <is>
          <t>https://www.topuniversities.com/world-university-rankings (QS WUR 2027)
https://www.timeshighereducation.com/world-university-rankings/2027/world-ranking
https://ur.isc.ac/fa/Home/RankHome</t>
        </is>
      </c>
      <c r="P702" s="4" t="inlineStr">
        <is>
          <t>таблица «технические/промышленные университеты» (24 вузов в таблице)</t>
        </is>
      </c>
    </row>
    <row r="703">
      <c r="A703" s="3" t="inlineStr">
        <is>
          <t>Iran|Kermanshah University of Medical Sciences</t>
        </is>
      </c>
      <c r="B703" s="3" t="inlineStr">
        <is>
          <t>Iran</t>
        </is>
      </c>
      <c r="C703" s="3" t="inlineStr">
        <is>
          <t>Керманшах</t>
        </is>
      </c>
      <c r="D703" s="3" t="inlineStr">
        <is>
          <t>Kermanshah University of Medical Sciences</t>
        </is>
      </c>
      <c r="E703" s="3" t="inlineStr">
        <is>
          <t>دانشگاه علوم پزشکی و خدمات بهداشتی درمانی کرمانشاه</t>
        </is>
      </c>
      <c r="F703" s="3" t="inlineStr">
        <is>
          <t>https://www.kums.ac.ir</t>
        </is>
      </c>
      <c r="G703" s="3" t="inlineStr"/>
      <c r="H703" s="3" t="inlineStr">
        <is>
          <t>THE2027: 401–450</t>
        </is>
      </c>
      <c r="I703" s="3" t="inlineStr"/>
      <c r="J703" s="4" t="inlineStr">
        <is>
          <t>не в рейтинге</t>
        </is>
      </c>
      <c r="K703" s="4" t="inlineStr">
        <is>
          <t>401–450</t>
        </is>
      </c>
      <c r="L703" s="4" t="inlineStr">
        <is>
          <t>нет в опубл. списке (опубликован только топ-15 страны)</t>
        </is>
      </c>
      <c r="M703" s="4" t="inlineStr">
        <is>
          <t>ISC University Ranking 1403</t>
        </is>
      </c>
      <c r="N703" s="4" t="inlineStr">
        <is>
          <t>не в рейтинге</t>
        </is>
      </c>
      <c r="O703" s="4" t="inlineStr">
        <is>
          <t>https://www.timeshighereducation.com/world-university-rankings/2027/world-ranking
https://ur.isc.ac/fa/Home/RankHome</t>
        </is>
      </c>
      <c r="P703" s="4" t="inlineStr">
        <is>
          <t>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медицинские.</t>
        </is>
      </c>
    </row>
    <row r="704">
      <c r="A704" s="3" t="inlineStr">
        <is>
          <t>Iran|Kermanshah University of Technology</t>
        </is>
      </c>
      <c r="B704" s="3" t="inlineStr">
        <is>
          <t>Iran</t>
        </is>
      </c>
      <c r="C704" s="3" t="inlineStr">
        <is>
          <t>Керманшах</t>
        </is>
      </c>
      <c r="D704" s="3" t="inlineStr">
        <is>
          <t>Kermanshah University of Technology</t>
        </is>
      </c>
      <c r="E704" s="3" t="inlineStr">
        <is>
          <t>دانشگاه صنعتی کرمانشاه</t>
        </is>
      </c>
      <c r="F704" s="3" t="inlineStr">
        <is>
          <t>https://kut.ac.ir</t>
        </is>
      </c>
      <c r="G704" s="3" t="inlineStr"/>
      <c r="H704" s="3" t="inlineStr"/>
      <c r="I704" s="3" t="inlineStr"/>
      <c r="J704" s="4" t="inlineStr">
        <is>
          <t>не в рейтинге</t>
        </is>
      </c>
      <c r="K704" s="4" t="inlineStr">
        <is>
          <t>Reporter</t>
        </is>
      </c>
      <c r="L704" s="4" t="inlineStr">
        <is>
          <t>нет в опубл. списке (опубликован только топ-15 страны)</t>
        </is>
      </c>
      <c r="M704" s="4" t="inlineStr">
        <is>
          <t>ISC University Ranking 1403 — technical/industrial universities (دانشگاه‌های صنعتی)</t>
        </is>
      </c>
      <c r="N704" s="4" t="inlineStr">
        <is>
          <t>14</t>
        </is>
      </c>
      <c r="O704" s="4" t="inlineStr">
        <is>
          <t>https://www.timeshighereducation.com/world-university-rankings/2027/world-ranking
https://ur.isc.ac/fa/Home/RankHome</t>
        </is>
      </c>
      <c r="P704" s="4" t="inlineStr">
        <is>
          <t>таблица «технические/промышленные университеты» (24 вузов в таблице)</t>
        </is>
      </c>
    </row>
    <row r="705">
      <c r="A705" s="3" t="inlineStr">
        <is>
          <t>Iran|Kharazmi University</t>
        </is>
      </c>
      <c r="B705" s="3" t="inlineStr">
        <is>
          <t>Iran</t>
        </is>
      </c>
      <c r="C705" s="3" t="inlineStr">
        <is>
          <t>Тегеран</t>
        </is>
      </c>
      <c r="D705" s="3" t="inlineStr">
        <is>
          <t>Kharazmi University</t>
        </is>
      </c>
      <c r="E705" s="3" t="inlineStr">
        <is>
          <t>دانشگاه خوارزمی</t>
        </is>
      </c>
      <c r="F705" s="3" t="inlineStr">
        <is>
          <t>https://khu.ac.ir</t>
        </is>
      </c>
      <c r="G705" s="3" t="inlineStr"/>
      <c r="H705" s="3" t="inlineStr">
        <is>
          <t>THE2027: 1201–1400</t>
        </is>
      </c>
      <c r="I705" s="3" t="inlineStr"/>
      <c r="J705" s="4" t="inlineStr">
        <is>
          <t>не в рейтинге</t>
        </is>
      </c>
      <c r="K705" s="4" t="inlineStr">
        <is>
          <t>1201–1400</t>
        </is>
      </c>
      <c r="L705" s="4" t="inlineStr">
        <is>
          <t>нет в опубл. списке (опубликован только топ-15 страны)</t>
        </is>
      </c>
      <c r="M705" s="4" t="inlineStr">
        <is>
          <t>ISC University Ranking 1403 — comprehensive universities (دانشگاه‌های جامع)</t>
        </is>
      </c>
      <c r="N705" s="4" t="inlineStr">
        <is>
          <t>10</t>
        </is>
      </c>
      <c r="O705" s="4" t="inlineStr">
        <is>
          <t>https://www.timeshighereducation.com/world-university-rankings/2027/world-ranking
https://ur.isc.ac/fa/Home/RankHome</t>
        </is>
      </c>
      <c r="P705" s="4" t="inlineStr">
        <is>
          <t>таблица «комплексные университеты» (69 вузов в таблице)</t>
        </is>
      </c>
    </row>
    <row r="706">
      <c r="A706" s="3" t="inlineStr">
        <is>
          <t>Iran|Kurdistan University of Medical Sciences</t>
        </is>
      </c>
      <c r="B706" s="3" t="inlineStr">
        <is>
          <t>Iran</t>
        </is>
      </c>
      <c r="C706" s="3" t="inlineStr">
        <is>
          <t>Сенендедж</t>
        </is>
      </c>
      <c r="D706" s="3" t="inlineStr">
        <is>
          <t>Kurdistan University of Medical Sciences</t>
        </is>
      </c>
      <c r="E706" s="3" t="inlineStr">
        <is>
          <t>دانشگاه علوم پزشکی و خدمات بهداشتی درمانی کردستان</t>
        </is>
      </c>
      <c r="F706" s="3" t="inlineStr">
        <is>
          <t>https://www.muk.ac.ir</t>
        </is>
      </c>
      <c r="G706" s="3" t="inlineStr"/>
      <c r="H706" s="3" t="inlineStr">
        <is>
          <t>THE2027: 701–800</t>
        </is>
      </c>
      <c r="I706" s="3" t="inlineStr"/>
      <c r="J706" s="4" t="inlineStr">
        <is>
          <t>не в рейтинге</t>
        </is>
      </c>
      <c r="K706" s="4" t="inlineStr">
        <is>
          <t>701–800</t>
        </is>
      </c>
      <c r="L706" s="4" t="inlineStr">
        <is>
          <t>нет в опубл. списке (опубликован только топ-15 страны)</t>
        </is>
      </c>
      <c r="M706" s="4" t="inlineStr">
        <is>
          <t>ISC University Ranking 1403</t>
        </is>
      </c>
      <c r="N706" s="4" t="inlineStr">
        <is>
          <t>не в рейтинге</t>
        </is>
      </c>
      <c r="O706" s="4" t="inlineStr">
        <is>
          <t>https://www.timeshighereducation.com/world-university-rankings/2027/world-ranking
https://ur.isc.ac/fa/Home/RankHome</t>
        </is>
      </c>
      <c r="P706" s="4" t="inlineStr">
        <is>
          <t>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медицинские.</t>
        </is>
      </c>
    </row>
    <row r="707">
      <c r="A707" s="3" t="inlineStr">
        <is>
          <t>Iran|Lorestan University</t>
        </is>
      </c>
      <c r="B707" s="3" t="inlineStr">
        <is>
          <t>Iran</t>
        </is>
      </c>
      <c r="C707" s="3" t="inlineStr">
        <is>
          <t>Хорремабад</t>
        </is>
      </c>
      <c r="D707" s="3" t="inlineStr">
        <is>
          <t>Lorestan University</t>
        </is>
      </c>
      <c r="E707" s="3" t="inlineStr">
        <is>
          <t>دانشگاه لرستان</t>
        </is>
      </c>
      <c r="F707" s="3" t="inlineStr">
        <is>
          <t>https://www.lu.ac.ir</t>
        </is>
      </c>
      <c r="G707" s="3" t="inlineStr"/>
      <c r="H707" s="3" t="inlineStr">
        <is>
          <t>THE2027: 1401–1600</t>
        </is>
      </c>
      <c r="I707" s="3" t="inlineStr"/>
      <c r="J707" s="4" t="inlineStr">
        <is>
          <t>не в рейтинге</t>
        </is>
      </c>
      <c r="K707" s="4" t="inlineStr">
        <is>
          <t>1401–1600</t>
        </is>
      </c>
      <c r="L707" s="4" t="inlineStr">
        <is>
          <t>нет в опубл. списке (опубликован только топ-15 страны)</t>
        </is>
      </c>
      <c r="M707" s="4" t="inlineStr">
        <is>
          <t>ISC University Ranking 1403 — comprehensive universities (دانشگاه‌های جامع)</t>
        </is>
      </c>
      <c r="N707" s="4" t="inlineStr">
        <is>
          <t>36</t>
        </is>
      </c>
      <c r="O707" s="4" t="inlineStr">
        <is>
          <t>https://www.timeshighereducation.com/world-university-rankings/2027/world-ranking
https://ur.isc.ac/fa/Home/RankHome</t>
        </is>
      </c>
      <c r="P707" s="4" t="inlineStr">
        <is>
          <t>таблица «комплексные университеты» (69 вузов в таблице)</t>
        </is>
      </c>
    </row>
    <row r="708">
      <c r="A708" s="3" t="inlineStr">
        <is>
          <t>Iran|Malayer University</t>
        </is>
      </c>
      <c r="B708" s="3" t="inlineStr">
        <is>
          <t>Iran</t>
        </is>
      </c>
      <c r="C708" s="3" t="inlineStr">
        <is>
          <t>Малайер</t>
        </is>
      </c>
      <c r="D708" s="3" t="inlineStr">
        <is>
          <t>Malayer University</t>
        </is>
      </c>
      <c r="E708" s="3" t="inlineStr">
        <is>
          <t>دانشگاه ملایر</t>
        </is>
      </c>
      <c r="F708" s="3" t="inlineStr">
        <is>
          <t>https://malayeru.ac.ir</t>
        </is>
      </c>
      <c r="G708" s="3" t="inlineStr"/>
      <c r="H708" s="3" t="inlineStr"/>
      <c r="I708" s="3" t="inlineStr"/>
      <c r="J708" s="4" t="inlineStr">
        <is>
          <t>не в рейтинге</t>
        </is>
      </c>
      <c r="K708" s="4" t="inlineStr">
        <is>
          <t>не в рейтинге</t>
        </is>
      </c>
      <c r="L708" s="4" t="inlineStr">
        <is>
          <t>нет в опубл. списке (опубликован только топ-15 страны)</t>
        </is>
      </c>
      <c r="M708" s="4" t="inlineStr">
        <is>
          <t>ISC University Ranking 1403 — comprehensive universities (دانشگاه‌های جامع)</t>
        </is>
      </c>
      <c r="N708" s="4" t="inlineStr">
        <is>
          <t>55</t>
        </is>
      </c>
      <c r="O708" s="4" t="inlineStr">
        <is>
          <t>https://ur.isc.ac/fa/Home/RankHome</t>
        </is>
      </c>
      <c r="P708" s="4" t="inlineStr">
        <is>
          <t>таблица «комплексные университеты» (69 вузов в таблице)</t>
        </is>
      </c>
    </row>
    <row r="709">
      <c r="A709" s="3" t="inlineStr">
        <is>
          <t>Iran|Persian Gulf University</t>
        </is>
      </c>
      <c r="B709" s="3" t="inlineStr">
        <is>
          <t>Iran</t>
        </is>
      </c>
      <c r="C709" s="3" t="inlineStr">
        <is>
          <t>Бушер</t>
        </is>
      </c>
      <c r="D709" s="3" t="inlineStr">
        <is>
          <t>Persian Gulf University</t>
        </is>
      </c>
      <c r="E709" s="3" t="inlineStr">
        <is>
          <t>دانشگاه خلیج فارس</t>
        </is>
      </c>
      <c r="F709" s="3" t="inlineStr">
        <is>
          <t>https://pgu.ac.ir</t>
        </is>
      </c>
      <c r="G709" s="3" t="inlineStr"/>
      <c r="H709" s="3" t="inlineStr">
        <is>
          <t>THE2027: 1201–1400</t>
        </is>
      </c>
      <c r="I709" s="3" t="inlineStr"/>
      <c r="J709" s="4" t="inlineStr">
        <is>
          <t>не в рейтинге</t>
        </is>
      </c>
      <c r="K709" s="4" t="inlineStr">
        <is>
          <t>1201–1400</t>
        </is>
      </c>
      <c r="L709" s="4" t="inlineStr">
        <is>
          <t>нет в опубл. списке (опубликован только топ-15 страны)</t>
        </is>
      </c>
      <c r="M709" s="4" t="inlineStr">
        <is>
          <t>ISC University Ranking 1403 — comprehensive universities (دانشگاه‌های جامع)</t>
        </is>
      </c>
      <c r="N709" s="4" t="inlineStr">
        <is>
          <t>28</t>
        </is>
      </c>
      <c r="O709" s="4" t="inlineStr">
        <is>
          <t>https://www.timeshighereducation.com/world-university-rankings/2027/world-ranking
https://ur.isc.ac/fa/Home/RankHome</t>
        </is>
      </c>
      <c r="P709" s="4" t="inlineStr">
        <is>
          <t>таблица «комплексные университеты» (69 вузов в таблице)</t>
        </is>
      </c>
    </row>
    <row r="710">
      <c r="A710" s="3" t="inlineStr">
        <is>
          <t>Iran|Petroleum University of Technology (PUT)</t>
        </is>
      </c>
      <c r="B710" s="3" t="inlineStr">
        <is>
          <t>Iran</t>
        </is>
      </c>
      <c r="C710" s="3" t="inlineStr">
        <is>
          <t>Абадан</t>
        </is>
      </c>
      <c r="D710" s="3" t="inlineStr">
        <is>
          <t>Petroleum University of Technology (PUT)</t>
        </is>
      </c>
      <c r="E710" s="3" t="inlineStr">
        <is>
          <t>دانشگاه صنعت نفت</t>
        </is>
      </c>
      <c r="F710" s="3" t="inlineStr">
        <is>
          <t>https://put.ac.ir</t>
        </is>
      </c>
      <c r="G710" s="3" t="inlineStr"/>
      <c r="H710" s="3" t="inlineStr">
        <is>
          <t>THE2027: Reporter (unranked)</t>
        </is>
      </c>
      <c r="I710" s="3" t="inlineStr"/>
      <c r="J710" s="4" t="inlineStr">
        <is>
          <t>не в рейтинге</t>
        </is>
      </c>
      <c r="K710" s="4" t="inlineStr">
        <is>
          <t>Reporter</t>
        </is>
      </c>
      <c r="L710" s="4" t="inlineStr">
        <is>
          <t>нет в опубл. списке (опубликован только топ-15 страны)</t>
        </is>
      </c>
      <c r="M710" s="4" t="inlineStr">
        <is>
          <t>ISC University Ranking 1403 — universities of executive bodies (دانشگاه‌های دستگاه‌های اجرایی)</t>
        </is>
      </c>
      <c r="N710" s="4" t="inlineStr">
        <is>
          <t>8</t>
        </is>
      </c>
      <c r="O710" s="4" t="inlineStr">
        <is>
          <t>https://www.timeshighereducation.com/world-university-rankings/2027/world-ranking
https://ur.isc.ac/fa/Home/RankHome</t>
        </is>
      </c>
      <c r="P710" s="4" t="inlineStr">
        <is>
          <t>таблица «университеты исполнительных ведомств» (не основные таблицы) (10 вузов в таблице); вуз подчинён не Минобрнауки, а другому ведомству</t>
        </is>
      </c>
    </row>
    <row r="711">
      <c r="A711" s="3" t="inlineStr">
        <is>
          <t>Iran|Razi University</t>
        </is>
      </c>
      <c r="B711" s="3" t="inlineStr">
        <is>
          <t>Iran</t>
        </is>
      </c>
      <c r="C711" s="3" t="inlineStr">
        <is>
          <t>Керманшах</t>
        </is>
      </c>
      <c r="D711" s="3" t="inlineStr">
        <is>
          <t>Razi University</t>
        </is>
      </c>
      <c r="E711" s="3" t="inlineStr">
        <is>
          <t>دانشگاه رازی</t>
        </is>
      </c>
      <c r="F711" s="3" t="inlineStr">
        <is>
          <t>https://razi.ac.ir</t>
        </is>
      </c>
      <c r="G711" s="3" t="inlineStr"/>
      <c r="H711" s="3" t="inlineStr">
        <is>
          <t>THE2027: 1401–1600</t>
        </is>
      </c>
      <c r="I711" s="3" t="inlineStr"/>
      <c r="J711" s="4" t="inlineStr">
        <is>
          <t>не в рейтинге</t>
        </is>
      </c>
      <c r="K711" s="4" t="inlineStr">
        <is>
          <t>1401–1600</t>
        </is>
      </c>
      <c r="L711" s="4" t="inlineStr">
        <is>
          <t>нет в опубл. списке (опубликован только топ-15 страны)</t>
        </is>
      </c>
      <c r="M711" s="4" t="inlineStr">
        <is>
          <t>ISC University Ranking 1403 — comprehensive universities (دانشگاه‌های جامع)</t>
        </is>
      </c>
      <c r="N711" s="4" t="inlineStr">
        <is>
          <t>8</t>
        </is>
      </c>
      <c r="O711" s="4" t="inlineStr">
        <is>
          <t>https://www.timeshighereducation.com/world-university-rankings/2027/world-ranking
https://ur.isc.ac/fa/Home/RankHome</t>
        </is>
      </c>
      <c r="P711" s="4" t="inlineStr">
        <is>
          <t>таблица «комплексные университеты» (69 вузов в таблице)</t>
        </is>
      </c>
    </row>
    <row r="712">
      <c r="A712" s="3" t="inlineStr">
        <is>
          <t>Iran|Sari Agricultural Sciences and Natural Resources University (SANRU)</t>
        </is>
      </c>
      <c r="B712" s="3" t="inlineStr">
        <is>
          <t>Iran</t>
        </is>
      </c>
      <c r="C712" s="3" t="inlineStr">
        <is>
          <t>Сари</t>
        </is>
      </c>
      <c r="D712" s="3" t="inlineStr">
        <is>
          <t>Sari Agricultural Sciences and Natural Resources University (SANRU)</t>
        </is>
      </c>
      <c r="E712" s="3" t="inlineStr">
        <is>
          <t>دانشگاه علوم کشاورزی و منابع طبیعی ساری</t>
        </is>
      </c>
      <c r="F712" s="3" t="inlineStr">
        <is>
          <t>https://sanru.ac.ir</t>
        </is>
      </c>
      <c r="G712" s="3" t="inlineStr"/>
      <c r="H712" s="3" t="inlineStr">
        <is>
          <t>THE2027: 1801–2000</t>
        </is>
      </c>
      <c r="I712" s="3" t="inlineStr"/>
      <c r="J712" s="4" t="inlineStr">
        <is>
          <t>не в рейтинге</t>
        </is>
      </c>
      <c r="K712" s="4" t="inlineStr">
        <is>
          <t>1801–2000</t>
        </is>
      </c>
      <c r="L712" s="4" t="inlineStr">
        <is>
          <t>нет в опубл. списке (опубликован только топ-15 страны)</t>
        </is>
      </c>
      <c r="M712" s="4" t="inlineStr">
        <is>
          <t>ISC University Ranking 1403 — agricultural sciences universities (دانشگاه‌های علوم کشاورزی)</t>
        </is>
      </c>
      <c r="N712" s="4" t="inlineStr">
        <is>
          <t>2</t>
        </is>
      </c>
      <c r="O712" s="4" t="inlineStr">
        <is>
          <t>https://www.timeshighereducation.com/world-university-rankings/2027/world-ranking
https://ur.isc.ac/fa/Home/RankHome</t>
        </is>
      </c>
      <c r="P712" s="4" t="inlineStr">
        <is>
          <t>таблица «аграрные университеты» (не основные таблицы) (4 вузов в таблице)</t>
        </is>
      </c>
    </row>
    <row r="713">
      <c r="A713" s="3" t="inlineStr">
        <is>
          <t>Iran|Semnan University</t>
        </is>
      </c>
      <c r="B713" s="3" t="inlineStr">
        <is>
          <t>Iran</t>
        </is>
      </c>
      <c r="C713" s="3" t="inlineStr">
        <is>
          <t>Семнан</t>
        </is>
      </c>
      <c r="D713" s="3" t="inlineStr">
        <is>
          <t>Semnan University</t>
        </is>
      </c>
      <c r="E713" s="3" t="inlineStr">
        <is>
          <t>دانشگاه سمنان</t>
        </is>
      </c>
      <c r="F713" s="3" t="inlineStr">
        <is>
          <t>https://semnan.ac.ir</t>
        </is>
      </c>
      <c r="G713" s="3" t="inlineStr"/>
      <c r="H713" s="3" t="inlineStr">
        <is>
          <t>THE2027: 1001–1200</t>
        </is>
      </c>
      <c r="I713" s="3" t="inlineStr"/>
      <c r="J713" s="4" t="inlineStr">
        <is>
          <t>не в рейтинге</t>
        </is>
      </c>
      <c r="K713" s="4" t="inlineStr">
        <is>
          <t>1001–1200</t>
        </is>
      </c>
      <c r="L713" s="4" t="inlineStr">
        <is>
          <t>нет в опубл. списке (опубликован только топ-15 страны)</t>
        </is>
      </c>
      <c r="M713" s="4" t="inlineStr">
        <is>
          <t>ISC University Ranking 1403 — comprehensive universities (دانشگاه‌های جامع)</t>
        </is>
      </c>
      <c r="N713" s="4" t="inlineStr">
        <is>
          <t>15</t>
        </is>
      </c>
      <c r="O713" s="4" t="inlineStr">
        <is>
          <t>https://www.timeshighereducation.com/world-university-rankings/2027/world-ranking
https://ur.isc.ac/fa/Home/RankHome</t>
        </is>
      </c>
      <c r="P713" s="4" t="inlineStr">
        <is>
          <t>таблица «комплексные университеты» (69 вузов в таблице)</t>
        </is>
      </c>
    </row>
    <row r="714">
      <c r="A714" s="3" t="inlineStr">
        <is>
          <t>Iran|Semnan University of Medical Sciences and Health Services</t>
        </is>
      </c>
      <c r="B714" s="3" t="inlineStr">
        <is>
          <t>Iran</t>
        </is>
      </c>
      <c r="C714" s="3" t="inlineStr">
        <is>
          <t>Семнан</t>
        </is>
      </c>
      <c r="D714" s="3" t="inlineStr">
        <is>
          <t>Semnan University of Medical Sciences and Health Services</t>
        </is>
      </c>
      <c r="E714" s="3" t="inlineStr">
        <is>
          <t>دانشگاه علوم پزشکی و خدمات بهداشتی درمانی استان سمنان</t>
        </is>
      </c>
      <c r="F714" s="3" t="inlineStr">
        <is>
          <t>https://en.semums.ac.ir</t>
        </is>
      </c>
      <c r="G714" s="3" t="inlineStr"/>
      <c r="H714" s="3" t="inlineStr">
        <is>
          <t>THE2027: 701–800</t>
        </is>
      </c>
      <c r="I714" s="3" t="inlineStr"/>
      <c r="J714" s="4" t="inlineStr">
        <is>
          <t>не в рейтинге</t>
        </is>
      </c>
      <c r="K714" s="4" t="inlineStr">
        <is>
          <t>701–800</t>
        </is>
      </c>
      <c r="L714" s="4" t="inlineStr">
        <is>
          <t>нет в опубл. списке (опубликован только топ-15 страны)</t>
        </is>
      </c>
      <c r="M714" s="4" t="inlineStr">
        <is>
          <t>ISC University Ranking 1403</t>
        </is>
      </c>
      <c r="N714" s="4" t="inlineStr">
        <is>
          <t>не в рейтинге</t>
        </is>
      </c>
      <c r="O714" s="4" t="inlineStr">
        <is>
          <t>https://www.timeshighereducation.com/world-university-rankings/2027/world-ranking
https://ur.isc.ac/fa/Home/RankHome</t>
        </is>
      </c>
      <c r="P714" s="4" t="inlineStr">
        <is>
          <t>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медицинские.</t>
        </is>
      </c>
    </row>
    <row r="715">
      <c r="A715" s="3" t="inlineStr">
        <is>
          <t>Iran|Shahed University</t>
        </is>
      </c>
      <c r="B715" s="3" t="inlineStr">
        <is>
          <t>Iran</t>
        </is>
      </c>
      <c r="C715" s="3" t="inlineStr">
        <is>
          <t>Тегеран</t>
        </is>
      </c>
      <c r="D715" s="3" t="inlineStr">
        <is>
          <t>Shahed University</t>
        </is>
      </c>
      <c r="E715" s="3" t="inlineStr">
        <is>
          <t>دانشگاه شاهد</t>
        </is>
      </c>
      <c r="F715" s="3" t="inlineStr">
        <is>
          <t>https://shahed.ac.ir</t>
        </is>
      </c>
      <c r="G715" s="3" t="inlineStr"/>
      <c r="H715" s="3" t="inlineStr">
        <is>
          <t>THE2027: 1801–2000</t>
        </is>
      </c>
      <c r="I715" s="3" t="inlineStr"/>
      <c r="J715" s="4" t="inlineStr">
        <is>
          <t>не в рейтинге</t>
        </is>
      </c>
      <c r="K715" s="4" t="inlineStr">
        <is>
          <t>1801–2000</t>
        </is>
      </c>
      <c r="L715" s="4" t="inlineStr">
        <is>
          <t>нет в опубл. списке (опубликован только топ-15 страны)</t>
        </is>
      </c>
      <c r="M715" s="4" t="inlineStr">
        <is>
          <t>ISC University Ranking 1403 — universities of executive bodies (دانشگاه‌های دستگاه‌های اجرایی)</t>
        </is>
      </c>
      <c r="N715" s="4" t="inlineStr">
        <is>
          <t>2</t>
        </is>
      </c>
      <c r="O715" s="4" t="inlineStr">
        <is>
          <t>https://www.timeshighereducation.com/world-university-rankings/2027/world-ranking
https://ur.isc.ac/fa/Home/RankHome</t>
        </is>
      </c>
      <c r="P715" s="4" t="inlineStr">
        <is>
          <t>таблица «университеты исполнительных ведомств» (не основные таблицы) (10 вузов в таблице); вуз подчинён не Минобрнауки, а другому ведомству</t>
        </is>
      </c>
    </row>
    <row r="716">
      <c r="A716" s="3" t="inlineStr">
        <is>
          <t>Iran|Shahid Bahonar University of Kerman</t>
        </is>
      </c>
      <c r="B716" s="3" t="inlineStr">
        <is>
          <t>Iran</t>
        </is>
      </c>
      <c r="C716" s="3" t="inlineStr">
        <is>
          <t>Керман</t>
        </is>
      </c>
      <c r="D716" s="3" t="inlineStr">
        <is>
          <t>Shahid Bahonar University of Kerman</t>
        </is>
      </c>
      <c r="E716" s="3" t="inlineStr">
        <is>
          <t>دانشگاه شهید باهنر کرمان</t>
        </is>
      </c>
      <c r="F716" s="3" t="inlineStr">
        <is>
          <t>https://uk.ac.ir</t>
        </is>
      </c>
      <c r="G716" s="3" t="inlineStr"/>
      <c r="H716" s="3" t="inlineStr">
        <is>
          <t>THE2027: 1001–1200</t>
        </is>
      </c>
      <c r="I716" s="3" t="inlineStr"/>
      <c r="J716" s="4" t="inlineStr">
        <is>
          <t>не в рейтинге</t>
        </is>
      </c>
      <c r="K716" s="4" t="inlineStr">
        <is>
          <t>1001–1200</t>
        </is>
      </c>
      <c r="L716" s="4" t="inlineStr">
        <is>
          <t>нет в опубл. списке (опубликован только топ-15 страны)</t>
        </is>
      </c>
      <c r="M716" s="4" t="inlineStr">
        <is>
          <t>ISC University Ranking 1403 — comprehensive universities (دانشگاه‌های جامع)</t>
        </is>
      </c>
      <c r="N716" s="4" t="inlineStr">
        <is>
          <t>12</t>
        </is>
      </c>
      <c r="O716" s="4" t="inlineStr">
        <is>
          <t>https://www.timeshighereducation.com/world-university-rankings/2027/world-ranking
https://ur.isc.ac/fa/Home/RankHome</t>
        </is>
      </c>
      <c r="P716" s="4" t="inlineStr">
        <is>
          <t>таблица «комплексные университеты» (69 вузов в таблице)</t>
        </is>
      </c>
    </row>
    <row r="717">
      <c r="A717" s="3" t="inlineStr">
        <is>
          <t>Iran|Shahid Rajaee Teacher Training University</t>
        </is>
      </c>
      <c r="B717" s="3" t="inlineStr">
        <is>
          <t>Iran</t>
        </is>
      </c>
      <c r="C717" s="3" t="inlineStr">
        <is>
          <t>Тегеран</t>
        </is>
      </c>
      <c r="D717" s="3" t="inlineStr">
        <is>
          <t>Shahid Rajaee Teacher Training University</t>
        </is>
      </c>
      <c r="E717" s="3" t="inlineStr">
        <is>
          <t>دانشگاه تربیت دبیر شهید رجایی</t>
        </is>
      </c>
      <c r="F717" s="3" t="inlineStr">
        <is>
          <t>https://www.sru.ac.ir</t>
        </is>
      </c>
      <c r="G717" s="3" t="inlineStr"/>
      <c r="H717" s="3" t="inlineStr"/>
      <c r="I717" s="3" t="inlineStr"/>
      <c r="J717" s="4" t="inlineStr">
        <is>
          <t>не в рейтинге</t>
        </is>
      </c>
      <c r="K717" s="4" t="inlineStr">
        <is>
          <t>не в рейтинге</t>
        </is>
      </c>
      <c r="L717" s="4" t="inlineStr">
        <is>
          <t>нет в опубл. списке (опубликован только топ-15 страны)</t>
        </is>
      </c>
      <c r="M717" s="4" t="inlineStr">
        <is>
          <t>ISC University Ranking 1403 — universities of executive bodies (دانشگاه‌های دستگاه‌های اجرایی)</t>
        </is>
      </c>
      <c r="N717" s="4" t="inlineStr">
        <is>
          <t>4</t>
        </is>
      </c>
      <c r="O717" s="4" t="inlineStr">
        <is>
          <t>https://ur.isc.ac/fa/Home/RankHome</t>
        </is>
      </c>
      <c r="P717" s="4" t="inlineStr">
        <is>
          <t>таблица «университеты исполнительных ведомств» (не основные таблицы) (10 вузов в таблице); вуз подчинён не Минобрнауки, а другому ведомству</t>
        </is>
      </c>
    </row>
    <row r="718">
      <c r="A718" s="3" t="inlineStr">
        <is>
          <t>Iran|Shahrood University of Technology</t>
        </is>
      </c>
      <c r="B718" s="3" t="inlineStr">
        <is>
          <t>Iran</t>
        </is>
      </c>
      <c r="C718" s="3" t="inlineStr">
        <is>
          <t>Шахруд</t>
        </is>
      </c>
      <c r="D718" s="3" t="inlineStr">
        <is>
          <t>Shahrood University of Technology</t>
        </is>
      </c>
      <c r="E718" s="3" t="inlineStr">
        <is>
          <t>دانشگاه صنعتی شاهرود</t>
        </is>
      </c>
      <c r="F718" s="3" t="inlineStr">
        <is>
          <t>https://www.shahroodut.ac.ir/en</t>
        </is>
      </c>
      <c r="G718" s="3" t="inlineStr"/>
      <c r="H718" s="3" t="inlineStr"/>
      <c r="I718" s="3" t="inlineStr"/>
      <c r="J718" s="4" t="inlineStr">
        <is>
          <t>не в рейтинге</t>
        </is>
      </c>
      <c r="K718" s="4" t="inlineStr">
        <is>
          <t>не в рейтинге</t>
        </is>
      </c>
      <c r="L718" s="4" t="inlineStr">
        <is>
          <t>нет в опубл. списке (опубликован только топ-15 страны)</t>
        </is>
      </c>
      <c r="M718" s="4" t="inlineStr">
        <is>
          <t>ISC University Ranking 1403 — technical/industrial universities (دانشگاه‌های صنعتی)</t>
        </is>
      </c>
      <c r="N718" s="4" t="inlineStr">
        <is>
          <t>6</t>
        </is>
      </c>
      <c r="O718" s="4" t="inlineStr">
        <is>
          <t>https://ur.isc.ac/fa/Home/RankHome</t>
        </is>
      </c>
      <c r="P718" s="4" t="inlineStr">
        <is>
          <t>таблица «технические/промышленные университеты» (24 вузов в таблице)</t>
        </is>
      </c>
    </row>
    <row r="719">
      <c r="A719" s="3" t="inlineStr">
        <is>
          <t>Iran|Shiraz University of Technology (SUTech)</t>
        </is>
      </c>
      <c r="B719" s="3" t="inlineStr">
        <is>
          <t>Iran</t>
        </is>
      </c>
      <c r="C719" s="3" t="inlineStr">
        <is>
          <t>Шираз</t>
        </is>
      </c>
      <c r="D719" s="3" t="inlineStr">
        <is>
          <t>Shiraz University of Technology (SUTech)</t>
        </is>
      </c>
      <c r="E719" s="3" t="inlineStr">
        <is>
          <t>دانشگاه صنعتی شیراز</t>
        </is>
      </c>
      <c r="F719" s="3" t="inlineStr">
        <is>
          <t>https://sutech.ac.ir</t>
        </is>
      </c>
      <c r="G719" s="3" t="inlineStr"/>
      <c r="H719" s="3" t="inlineStr">
        <is>
          <t>THE2027: 551–600</t>
        </is>
      </c>
      <c r="I719" s="3" t="inlineStr"/>
      <c r="J719" s="4" t="inlineStr">
        <is>
          <t>не в рейтинге</t>
        </is>
      </c>
      <c r="K719" s="4" t="inlineStr">
        <is>
          <t>551–600</t>
        </is>
      </c>
      <c r="L719" s="4" t="inlineStr">
        <is>
          <t>нет в опубл. списке (опубликован только топ-15 страны)</t>
        </is>
      </c>
      <c r="M719" s="4" t="inlineStr">
        <is>
          <t>ISC University Ranking 1403 — technical/industrial universities (دانشگاه‌های صنعتی)</t>
        </is>
      </c>
      <c r="N719" s="4" t="inlineStr">
        <is>
          <t>9</t>
        </is>
      </c>
      <c r="O719" s="4" t="inlineStr">
        <is>
          <t>https://www.timeshighereducation.com/world-university-rankings/2027/world-ranking
https://ur.isc.ac/fa/Home/RankHome</t>
        </is>
      </c>
      <c r="P719" s="4" t="inlineStr">
        <is>
          <t>таблица «технические/промышленные университеты» (24 вузов в таблице)</t>
        </is>
      </c>
    </row>
    <row r="720">
      <c r="A720" s="3" t="inlineStr">
        <is>
          <t>Iran|Tarbiat Modares University</t>
        </is>
      </c>
      <c r="B720" s="3" t="inlineStr">
        <is>
          <t>Iran</t>
        </is>
      </c>
      <c r="C720" s="3" t="inlineStr">
        <is>
          <t>Тегеран</t>
        </is>
      </c>
      <c r="D720" s="3" t="inlineStr">
        <is>
          <t>Tarbiat Modares University</t>
        </is>
      </c>
      <c r="E720" s="3" t="inlineStr">
        <is>
          <t>دانشگاه تربیت مدرس</t>
        </is>
      </c>
      <c r="F720" s="3" t="inlineStr">
        <is>
          <t>https://www.modares.ac.ir</t>
        </is>
      </c>
      <c r="G720" s="3" t="inlineStr"/>
      <c r="H720" s="3" t="inlineStr"/>
      <c r="I720" s="3" t="inlineStr"/>
      <c r="J720" s="4" t="inlineStr">
        <is>
          <t>не в рейтинге</t>
        </is>
      </c>
      <c r="K720" s="4" t="inlineStr">
        <is>
          <t>не в рейтинге</t>
        </is>
      </c>
      <c r="L720" s="4" t="inlineStr">
        <is>
          <t>849</t>
        </is>
      </c>
      <c r="M720" s="4" t="inlineStr">
        <is>
          <t>ISC University Ranking 1403 — comprehensive universities (دانشگاه‌های جامع)</t>
        </is>
      </c>
      <c r="N720" s="4" t="inlineStr">
        <is>
          <t>2</t>
        </is>
      </c>
      <c r="O720" s="4" t="inlineStr">
        <is>
          <t>https://figshare.com/articles/preprint/Ranking_Web_of_Universities_webometrics_info_July_2026_edition/33062150
https://ur.isc.ac/fa/Home/RankHome</t>
        </is>
      </c>
      <c r="P720" s="4" t="inlineStr">
        <is>
          <t>таблица «комплексные университеты» (69 вузов в таблице)</t>
        </is>
      </c>
    </row>
    <row r="721">
      <c r="A721" s="3" t="inlineStr">
        <is>
          <t>Iran|Tehran University of Medical Sciences</t>
        </is>
      </c>
      <c r="B721" s="3" t="inlineStr">
        <is>
          <t>Iran</t>
        </is>
      </c>
      <c r="C721" s="3" t="inlineStr">
        <is>
          <t>Тегеран</t>
        </is>
      </c>
      <c r="D721" s="3" t="inlineStr">
        <is>
          <t>Tehran University of Medical Sciences</t>
        </is>
      </c>
      <c r="E721" s="3" t="inlineStr">
        <is>
          <t>دانشگاه علوم پزشکی تهران</t>
        </is>
      </c>
      <c r="F721" s="3" t="inlineStr">
        <is>
          <t>https://tums.ac.ir</t>
        </is>
      </c>
      <c r="G721" s="3" t="inlineStr"/>
      <c r="H721" s="3" t="inlineStr">
        <is>
          <t>THE2027: 501–550</t>
        </is>
      </c>
      <c r="I721" s="3" t="inlineStr"/>
      <c r="J721" s="4" t="inlineStr">
        <is>
          <t>не в рейтинге</t>
        </is>
      </c>
      <c r="K721" s="4" t="inlineStr">
        <is>
          <t>501–550</t>
        </is>
      </c>
      <c r="L721" s="4" t="inlineStr">
        <is>
          <t>487</t>
        </is>
      </c>
      <c r="M721" s="4" t="inlineStr">
        <is>
          <t>ISC University Ranking 1403</t>
        </is>
      </c>
      <c r="N721" s="4" t="inlineStr">
        <is>
          <t>не в рейтинге</t>
        </is>
      </c>
      <c r="O721" s="4" t="inlineStr">
        <is>
          <t>https://www.timeshighereducation.com/world-university-rankings/2027/world-ranking
https://figshare.com/articles/preprint/Ranking_Web_of_Universities_webometrics_info_July_2026_edition/33062150
https://ur.isc.ac/fa/Home/RankHome</t>
        </is>
      </c>
      <c r="P721" s="4" t="inlineStr">
        <is>
          <t>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медицинские.</t>
        </is>
      </c>
    </row>
    <row r="722">
      <c r="A722" s="3" t="inlineStr">
        <is>
          <t>Iran|University of Birjand</t>
        </is>
      </c>
      <c r="B722" s="3" t="inlineStr">
        <is>
          <t>Iran</t>
        </is>
      </c>
      <c r="C722" s="3" t="inlineStr">
        <is>
          <t>Бирджанд</t>
        </is>
      </c>
      <c r="D722" s="3" t="inlineStr">
        <is>
          <t>University of Birjand</t>
        </is>
      </c>
      <c r="E722" s="3" t="inlineStr">
        <is>
          <t>دانشگاه بیرجند</t>
        </is>
      </c>
      <c r="F722" s="3" t="inlineStr">
        <is>
          <t>https://birjand.ac.ir</t>
        </is>
      </c>
      <c r="G722" s="3" t="inlineStr"/>
      <c r="H722" s="3" t="inlineStr">
        <is>
          <t>THE2027: 2001+</t>
        </is>
      </c>
      <c r="I722" s="3" t="inlineStr"/>
      <c r="J722" s="4" t="inlineStr">
        <is>
          <t>не в рейтинге</t>
        </is>
      </c>
      <c r="K722" s="4" t="inlineStr">
        <is>
          <t>2001+</t>
        </is>
      </c>
      <c r="L722" s="4" t="inlineStr">
        <is>
          <t>нет в опубл. списке (опубликован только топ-15 страны)</t>
        </is>
      </c>
      <c r="M722" s="4" t="inlineStr">
        <is>
          <t>ISC University Ranking 1403 — comprehensive universities (دانشگاه‌های جامع)</t>
        </is>
      </c>
      <c r="N722" s="4" t="inlineStr">
        <is>
          <t>34</t>
        </is>
      </c>
      <c r="O722" s="4" t="inlineStr">
        <is>
          <t>https://www.timeshighereducation.com/world-university-rankings/2027/world-ranking
https://ur.isc.ac/fa/Home/RankHome</t>
        </is>
      </c>
      <c r="P722" s="4" t="inlineStr">
        <is>
          <t>таблица «комплексные университеты» (69 вузов в таблице)</t>
        </is>
      </c>
    </row>
    <row r="723">
      <c r="A723" s="3" t="inlineStr">
        <is>
          <t>Iran|University of Isfahan</t>
        </is>
      </c>
      <c r="B723" s="3" t="inlineStr">
        <is>
          <t>Iran</t>
        </is>
      </c>
      <c r="C723" s="3" t="inlineStr">
        <is>
          <t>Исфахан</t>
        </is>
      </c>
      <c r="D723" s="3" t="inlineStr">
        <is>
          <t>University of Isfahan</t>
        </is>
      </c>
      <c r="E723" s="3" t="inlineStr">
        <is>
          <t>دانشگاه اصفهان</t>
        </is>
      </c>
      <c r="F723" s="3" t="inlineStr">
        <is>
          <t>https://ui.ac.ir</t>
        </is>
      </c>
      <c r="G723" s="3" t="inlineStr">
        <is>
          <t>QS2027: 1201–1400</t>
        </is>
      </c>
      <c r="H723" s="3" t="inlineStr">
        <is>
          <t>THE2027: 1201–1400</t>
        </is>
      </c>
      <c r="I723" s="3" t="inlineStr"/>
      <c r="J723" s="4" t="inlineStr">
        <is>
          <t>1201–1400</t>
        </is>
      </c>
      <c r="K723" s="4" t="inlineStr">
        <is>
          <t>1201–1400</t>
        </is>
      </c>
      <c r="L723" s="4" t="inlineStr">
        <is>
          <t>нет в опубл. списке (опубликован только топ-15 страны)</t>
        </is>
      </c>
      <c r="M723" s="4" t="inlineStr">
        <is>
          <t>ISC University Ranking 1403 — comprehensive universities (دانشگاه‌های جامع)</t>
        </is>
      </c>
      <c r="N723" s="4" t="inlineStr">
        <is>
          <t>7</t>
        </is>
      </c>
      <c r="O723" s="4" t="inlineStr">
        <is>
          <t>https://www.topuniversities.com/world-university-rankings (QS WUR 2027)
https://www.timeshighereducation.com/world-university-rankings/2027/world-ranking
https://ur.isc.ac/fa/Home/RankHome</t>
        </is>
      </c>
      <c r="P723" s="4" t="inlineStr">
        <is>
          <t>таблица «комплексные университеты» (69 вузов в таблице)</t>
        </is>
      </c>
    </row>
    <row r="724">
      <c r="A724" s="3" t="inlineStr">
        <is>
          <t>Iran|University of Jiroft</t>
        </is>
      </c>
      <c r="B724" s="3" t="inlineStr">
        <is>
          <t>Iran</t>
        </is>
      </c>
      <c r="C724" s="3" t="inlineStr">
        <is>
          <t>Джирофт</t>
        </is>
      </c>
      <c r="D724" s="3" t="inlineStr">
        <is>
          <t>University of Jiroft</t>
        </is>
      </c>
      <c r="E724" s="3" t="inlineStr">
        <is>
          <t>دانشگاه جیرفت</t>
        </is>
      </c>
      <c r="F724" s="3" t="inlineStr">
        <is>
          <t>https://ujiroft.ac.ir</t>
        </is>
      </c>
      <c r="G724" s="3" t="inlineStr"/>
      <c r="H724" s="3" t="inlineStr"/>
      <c r="I724" s="3" t="inlineStr"/>
      <c r="J724" s="4" t="inlineStr">
        <is>
          <t>не в рейтинге</t>
        </is>
      </c>
      <c r="K724" s="4" t="inlineStr">
        <is>
          <t>не в рейтинге</t>
        </is>
      </c>
      <c r="L724" s="4" t="inlineStr">
        <is>
          <t>нет в опубл. списке (опубликован только топ-15 страны)</t>
        </is>
      </c>
      <c r="M724" s="4" t="inlineStr">
        <is>
          <t>ISC University Ranking 1403 — comprehensive universities (دانشگاه‌های جامع)</t>
        </is>
      </c>
      <c r="N724" s="4" t="inlineStr">
        <is>
          <t>61</t>
        </is>
      </c>
      <c r="O724" s="4" t="inlineStr">
        <is>
          <t>https://ur.isc.ac/fa/Home/RankHome</t>
        </is>
      </c>
      <c r="P724" s="4" t="inlineStr">
        <is>
          <t>таблица «комплексные университеты» (69 вузов в таблице)</t>
        </is>
      </c>
    </row>
    <row r="725">
      <c r="A725" s="3" t="inlineStr">
        <is>
          <t>Iran|University of Kashan</t>
        </is>
      </c>
      <c r="B725" s="3" t="inlineStr">
        <is>
          <t>Iran</t>
        </is>
      </c>
      <c r="C725" s="3" t="inlineStr">
        <is>
          <t>Кашан</t>
        </is>
      </c>
      <c r="D725" s="3" t="inlineStr">
        <is>
          <t>University of Kashan</t>
        </is>
      </c>
      <c r="E725" s="3" t="inlineStr">
        <is>
          <t>دانشگاه کاشان</t>
        </is>
      </c>
      <c r="F725" s="3" t="inlineStr">
        <is>
          <t>https://kashanu.ac.ir/en</t>
        </is>
      </c>
      <c r="G725" s="3" t="inlineStr"/>
      <c r="H725" s="3" t="inlineStr">
        <is>
          <t>THE2027: 1001–1200</t>
        </is>
      </c>
      <c r="I725" s="3" t="inlineStr"/>
      <c r="J725" s="4" t="inlineStr">
        <is>
          <t>не в рейтинге</t>
        </is>
      </c>
      <c r="K725" s="4" t="inlineStr">
        <is>
          <t>1001–1200</t>
        </is>
      </c>
      <c r="L725" s="4" t="inlineStr">
        <is>
          <t>нет в опубл. списке (опубликован только топ-15 страны)</t>
        </is>
      </c>
      <c r="M725" s="4" t="inlineStr">
        <is>
          <t>ISC University Ranking 1403 — comprehensive universities (دانشگاه‌های جامع)</t>
        </is>
      </c>
      <c r="N725" s="4" t="inlineStr">
        <is>
          <t>21</t>
        </is>
      </c>
      <c r="O725" s="4" t="inlineStr">
        <is>
          <t>https://www.timeshighereducation.com/world-university-rankings/2027/world-ranking
https://ur.isc.ac/fa/Home/RankHome</t>
        </is>
      </c>
      <c r="P725" s="4" t="inlineStr">
        <is>
          <t>таблица «комплексные университеты» (69 вузов в таблице)</t>
        </is>
      </c>
    </row>
    <row r="726">
      <c r="A726" s="3" t="inlineStr">
        <is>
          <t>Iran|University of Kurdistan</t>
        </is>
      </c>
      <c r="B726" s="3" t="inlineStr">
        <is>
          <t>Iran</t>
        </is>
      </c>
      <c r="C726" s="3" t="inlineStr">
        <is>
          <t>Сенендедж</t>
        </is>
      </c>
      <c r="D726" s="3" t="inlineStr">
        <is>
          <t>University of Kurdistan</t>
        </is>
      </c>
      <c r="E726" s="3" t="inlineStr">
        <is>
          <t>دانشگاه کردستان (курд.: زانکۆی کوردستان)</t>
        </is>
      </c>
      <c r="F726" s="3" t="inlineStr">
        <is>
          <t>https://uok.ac.ir</t>
        </is>
      </c>
      <c r="G726" s="3" t="inlineStr"/>
      <c r="H726" s="3" t="inlineStr">
        <is>
          <t>THE2027: 1201–1400</t>
        </is>
      </c>
      <c r="I726" s="3" t="inlineStr"/>
      <c r="J726" s="4" t="inlineStr">
        <is>
          <t>не в рейтинге</t>
        </is>
      </c>
      <c r="K726" s="4" t="inlineStr">
        <is>
          <t>1201–1400</t>
        </is>
      </c>
      <c r="L726" s="4" t="inlineStr">
        <is>
          <t>нет в опубл. списке (опубликован только топ-15 страны)</t>
        </is>
      </c>
      <c r="M726" s="4" t="inlineStr">
        <is>
          <t>ISC University Ranking 1403 — comprehensive universities (دانشگاه‌های جامع)</t>
        </is>
      </c>
      <c r="N726" s="4" t="inlineStr">
        <is>
          <t>19</t>
        </is>
      </c>
      <c r="O726" s="4" t="inlineStr">
        <is>
          <t>https://www.timeshighereducation.com/world-university-rankings/2027/world-ranking
https://ur.isc.ac/fa/Home/RankHome</t>
        </is>
      </c>
      <c r="P726" s="4" t="inlineStr">
        <is>
          <t>таблица «комплексные университеты» (69 вузов в таблице)</t>
        </is>
      </c>
    </row>
    <row r="727">
      <c r="A727" s="3" t="inlineStr">
        <is>
          <t>Iran|University of Qom</t>
        </is>
      </c>
      <c r="B727" s="3" t="inlineStr">
        <is>
          <t>Iran</t>
        </is>
      </c>
      <c r="C727" s="3" t="inlineStr">
        <is>
          <t>Кум</t>
        </is>
      </c>
      <c r="D727" s="3" t="inlineStr">
        <is>
          <t>University of Qom</t>
        </is>
      </c>
      <c r="E727" s="3" t="inlineStr">
        <is>
          <t>دانشگاه قم</t>
        </is>
      </c>
      <c r="F727" s="3" t="inlineStr">
        <is>
          <t>https://en.qom.ac.ir</t>
        </is>
      </c>
      <c r="G727" s="3" t="inlineStr"/>
      <c r="H727" s="3" t="inlineStr">
        <is>
          <t>THE2027: 1601–1800</t>
        </is>
      </c>
      <c r="I727" s="3" t="inlineStr"/>
      <c r="J727" s="4" t="inlineStr">
        <is>
          <t>не в рейтинге</t>
        </is>
      </c>
      <c r="K727" s="4" t="inlineStr">
        <is>
          <t>1601–1800</t>
        </is>
      </c>
      <c r="L727" s="4" t="inlineStr">
        <is>
          <t>нет в опубл. списке (опубликован только топ-15 страны)</t>
        </is>
      </c>
      <c r="M727" s="4" t="inlineStr">
        <is>
          <t>ISC University Ranking 1403 — comprehensive universities (دانشگاه‌های جامع)</t>
        </is>
      </c>
      <c r="N727" s="4" t="inlineStr">
        <is>
          <t>23</t>
        </is>
      </c>
      <c r="O727" s="4" t="inlineStr">
        <is>
          <t>https://www.timeshighereducation.com/world-university-rankings/2027/world-ranking
https://ur.isc.ac/fa/Home/RankHome</t>
        </is>
      </c>
      <c r="P727" s="4" t="inlineStr">
        <is>
          <t>таблица «комплексные университеты» (69 вузов в таблице); делит место с: دانشگاه بوعلی سینا</t>
        </is>
      </c>
    </row>
    <row r="728">
      <c r="A728" s="3" t="inlineStr">
        <is>
          <t>Iran|University of Science and Culture</t>
        </is>
      </c>
      <c r="B728" s="3" t="inlineStr">
        <is>
          <t>Iran</t>
        </is>
      </c>
      <c r="C728" s="3" t="inlineStr">
        <is>
          <t>Тегеран</t>
        </is>
      </c>
      <c r="D728" s="3" t="inlineStr">
        <is>
          <t>University of Science and Culture</t>
        </is>
      </c>
      <c r="E728" s="3" t="inlineStr">
        <is>
          <t>دانشگاه علم و فرهنگ</t>
        </is>
      </c>
      <c r="F728" s="3" t="inlineStr">
        <is>
          <t>https://usc.ac.ir</t>
        </is>
      </c>
      <c r="G728" s="3" t="inlineStr"/>
      <c r="H728" s="3" t="inlineStr"/>
      <c r="I728" s="3" t="inlineStr"/>
      <c r="J728" s="4" t="inlineStr">
        <is>
          <t>не в рейтинге</t>
        </is>
      </c>
      <c r="K728" s="4" t="inlineStr">
        <is>
          <t>Reporter</t>
        </is>
      </c>
      <c r="L728" s="4" t="inlineStr">
        <is>
          <t>нет в опубл. списке (опубликован только топ-15 страны)</t>
        </is>
      </c>
      <c r="M728" s="4" t="inlineStr">
        <is>
          <t>ISC University Ranking 1403 — non-governmental non-profit universities (دانشگاه‌های غیرانتفاعی)</t>
        </is>
      </c>
      <c r="N728" s="4" t="inlineStr">
        <is>
          <t>2</t>
        </is>
      </c>
      <c r="O728" s="4" t="inlineStr">
        <is>
          <t>https://www.timeshighereducation.com/world-university-rankings/2027/world-ranking
https://ur.isc.ac/fa/Home/RankHome</t>
        </is>
      </c>
      <c r="P728" s="4" t="inlineStr">
        <is>
          <t>таблица «негосударственные некоммерческие университеты» (не основные таблицы) (21 вузов в таблице); в ISC значится с пометкой (غیردولتی غیرانتفاعی)</t>
        </is>
      </c>
    </row>
    <row r="729">
      <c r="A729" s="3" t="inlineStr">
        <is>
          <t>Iran|University of Tehran</t>
        </is>
      </c>
      <c r="B729" s="3" t="inlineStr">
        <is>
          <t>Iran</t>
        </is>
      </c>
      <c r="C729" s="3" t="inlineStr">
        <is>
          <t>Тегеран</t>
        </is>
      </c>
      <c r="D729" s="3" t="inlineStr">
        <is>
          <t>University of Tehran</t>
        </is>
      </c>
      <c r="E729" s="3" t="inlineStr">
        <is>
          <t>دانشگاه تهران</t>
        </is>
      </c>
      <c r="F729" s="3" t="inlineStr">
        <is>
          <t>https://ut.ac.ir</t>
        </is>
      </c>
      <c r="G729" s="3" t="inlineStr">
        <is>
          <t>QS2027: 367</t>
        </is>
      </c>
      <c r="H729" s="3" t="inlineStr">
        <is>
          <t>THE2027: 451–500</t>
        </is>
      </c>
      <c r="I729" s="3" t="inlineStr"/>
      <c r="J729" s="4">
        <f>367</f>
        <v/>
      </c>
      <c r="K729" s="4" t="inlineStr">
        <is>
          <t>451–500</t>
        </is>
      </c>
      <c r="L729" s="4" t="inlineStr">
        <is>
          <t>351</t>
        </is>
      </c>
      <c r="M729" s="4" t="inlineStr">
        <is>
          <t>ISC University Ranking 1403 — comprehensive universities (دانشگاه‌های جامع)</t>
        </is>
      </c>
      <c r="N729" s="4" t="inlineStr">
        <is>
          <t>1</t>
        </is>
      </c>
      <c r="O72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https://ur.isc.ac/fa/Home/RankHome</t>
        </is>
      </c>
      <c r="P729" s="4" t="inlineStr">
        <is>
          <t>таблица «комплексные университеты» (69 вузов в таблице)</t>
        </is>
      </c>
    </row>
    <row r="730">
      <c r="A730" s="3" t="inlineStr">
        <is>
          <t>Iran|University of Zanjan</t>
        </is>
      </c>
      <c r="B730" s="3" t="inlineStr">
        <is>
          <t>Iran</t>
        </is>
      </c>
      <c r="C730" s="3" t="inlineStr">
        <is>
          <t>Занджан</t>
        </is>
      </c>
      <c r="D730" s="3" t="inlineStr">
        <is>
          <t>University of Zanjan</t>
        </is>
      </c>
      <c r="E730" s="3" t="inlineStr">
        <is>
          <t>دانشگاه زنجان</t>
        </is>
      </c>
      <c r="F730" s="3" t="inlineStr">
        <is>
          <t>https://www.znu.ac.ir</t>
        </is>
      </c>
      <c r="G730" s="3" t="inlineStr"/>
      <c r="H730" s="3" t="inlineStr">
        <is>
          <t>THE2027: 1401–1600</t>
        </is>
      </c>
      <c r="I730" s="3" t="inlineStr"/>
      <c r="J730" s="4" t="inlineStr">
        <is>
          <t>не в рейтинге</t>
        </is>
      </c>
      <c r="K730" s="4" t="inlineStr">
        <is>
          <t>1401–1600</t>
        </is>
      </c>
      <c r="L730" s="4" t="inlineStr">
        <is>
          <t>нет в опубл. списке (опубликован только топ-15 страны)</t>
        </is>
      </c>
      <c r="M730" s="4" t="inlineStr">
        <is>
          <t>ISC University Ranking 1403 — comprehensive universities (دانشگاه‌های جامع)</t>
        </is>
      </c>
      <c r="N730" s="4" t="inlineStr">
        <is>
          <t>29</t>
        </is>
      </c>
      <c r="O730" s="4" t="inlineStr">
        <is>
          <t>https://www.timeshighereducation.com/world-university-rankings/2027/world-ranking
https://ur.isc.ac/fa/Home/RankHome</t>
        </is>
      </c>
      <c r="P730" s="4" t="inlineStr">
        <is>
          <t>таблица «комплексные университеты» (69 вузов в таблице)</t>
        </is>
      </c>
    </row>
    <row r="731">
      <c r="A731" s="3" t="inlineStr">
        <is>
          <t>Iran|Urmia University</t>
        </is>
      </c>
      <c r="B731" s="3" t="inlineStr">
        <is>
          <t>Iran</t>
        </is>
      </c>
      <c r="C731" s="3" t="inlineStr">
        <is>
          <t>Урмия</t>
        </is>
      </c>
      <c r="D731" s="3" t="inlineStr">
        <is>
          <t>Urmia University</t>
        </is>
      </c>
      <c r="E731" s="3" t="inlineStr">
        <is>
          <t>دانشگاه ارومیه</t>
        </is>
      </c>
      <c r="F731" s="3" t="inlineStr">
        <is>
          <t>https://urmia.ac.ir</t>
        </is>
      </c>
      <c r="G731" s="3" t="inlineStr"/>
      <c r="H731" s="3" t="inlineStr">
        <is>
          <t>THE2027: 801–1000</t>
        </is>
      </c>
      <c r="I731" s="3" t="inlineStr"/>
      <c r="J731" s="4" t="inlineStr">
        <is>
          <t>не в рейтинге</t>
        </is>
      </c>
      <c r="K731" s="4" t="inlineStr">
        <is>
          <t>801–1000</t>
        </is>
      </c>
      <c r="L731" s="4" t="inlineStr">
        <is>
          <t>нет в опубл. списке (опубликован только топ-15 страны)</t>
        </is>
      </c>
      <c r="M731" s="4" t="inlineStr">
        <is>
          <t>ISC University Ranking 1403 — comprehensive universities (دانشگاه‌های جامع)</t>
        </is>
      </c>
      <c r="N731" s="4" t="inlineStr">
        <is>
          <t>14</t>
        </is>
      </c>
      <c r="O731" s="4" t="inlineStr">
        <is>
          <t>https://www.timeshighereducation.com/world-university-rankings/2027/world-ranking
https://ur.isc.ac/fa/Home/RankHome</t>
        </is>
      </c>
      <c r="P731" s="4" t="inlineStr">
        <is>
          <t>таблица «комплексные университеты» (69 вузов в таблице)</t>
        </is>
      </c>
    </row>
    <row r="732">
      <c r="A732" s="3" t="inlineStr">
        <is>
          <t>Iran|Urmia University of Technology (UUT)</t>
        </is>
      </c>
      <c r="B732" s="3" t="inlineStr">
        <is>
          <t>Iran</t>
        </is>
      </c>
      <c r="C732" s="3" t="inlineStr">
        <is>
          <t>Урмия</t>
        </is>
      </c>
      <c r="D732" s="3" t="inlineStr">
        <is>
          <t>Urmia University of Technology (UUT)</t>
        </is>
      </c>
      <c r="E732" s="3" t="inlineStr">
        <is>
          <t>دانشگاه صنعتی ارومیه</t>
        </is>
      </c>
      <c r="F732" s="3" t="inlineStr">
        <is>
          <t>https://uut.ac.ir</t>
        </is>
      </c>
      <c r="G732" s="3" t="inlineStr"/>
      <c r="H732" s="3" t="inlineStr">
        <is>
          <t>THE2027: Reporter (unranked)</t>
        </is>
      </c>
      <c r="I732" s="3" t="inlineStr"/>
      <c r="J732" s="4" t="inlineStr">
        <is>
          <t>не в рейтинге</t>
        </is>
      </c>
      <c r="K732" s="4" t="inlineStr">
        <is>
          <t>Reporter</t>
        </is>
      </c>
      <c r="L732" s="4" t="inlineStr">
        <is>
          <t>нет в опубл. списке (опубликован только топ-15 страны)</t>
        </is>
      </c>
      <c r="M732" s="4" t="inlineStr">
        <is>
          <t>ISC University Ranking 1403 — technical/industrial universities (دانشگاه‌های صنعتی)</t>
        </is>
      </c>
      <c r="N732" s="4" t="inlineStr">
        <is>
          <t>11</t>
        </is>
      </c>
      <c r="O732" s="4" t="inlineStr">
        <is>
          <t>https://www.timeshighereducation.com/world-university-rankings/2027/world-ranking
https://ur.isc.ac/fa/Home/RankHome</t>
        </is>
      </c>
      <c r="P732" s="4" t="inlineStr">
        <is>
          <t>таблица «технические/промышленные университеты» (24 вузов в таблице)</t>
        </is>
      </c>
    </row>
    <row r="733">
      <c r="A733" s="3" t="inlineStr">
        <is>
          <t>Iran|Yazd University</t>
        </is>
      </c>
      <c r="B733" s="3" t="inlineStr">
        <is>
          <t>Iran</t>
        </is>
      </c>
      <c r="C733" s="3" t="inlineStr">
        <is>
          <t>Йезд</t>
        </is>
      </c>
      <c r="D733" s="3" t="inlineStr">
        <is>
          <t>Yazd University</t>
        </is>
      </c>
      <c r="E733" s="3" t="inlineStr">
        <is>
          <t>دانشگاه یزد</t>
        </is>
      </c>
      <c r="F733" s="3" t="inlineStr">
        <is>
          <t>https://yazd.ac.ir</t>
        </is>
      </c>
      <c r="G733" s="3" t="inlineStr"/>
      <c r="H733" s="3" t="inlineStr">
        <is>
          <t>THE2027: 1201–1400</t>
        </is>
      </c>
      <c r="I733" s="3" t="inlineStr"/>
      <c r="J733" s="4" t="inlineStr">
        <is>
          <t>не в рейтинге</t>
        </is>
      </c>
      <c r="K733" s="4" t="inlineStr">
        <is>
          <t>1201–1400</t>
        </is>
      </c>
      <c r="L733" s="4" t="inlineStr">
        <is>
          <t>нет в опубл. списке (опубликован только топ-15 страны)</t>
        </is>
      </c>
      <c r="M733" s="4" t="inlineStr">
        <is>
          <t>ISC University Ranking 1403 — comprehensive universities (دانشگاه‌های جامع)</t>
        </is>
      </c>
      <c r="N733" s="4" t="inlineStr">
        <is>
          <t>17</t>
        </is>
      </c>
      <c r="O733" s="4" t="inlineStr">
        <is>
          <t>https://www.timeshighereducation.com/world-university-rankings/2027/world-ranking
https://ur.isc.ac/fa/Home/RankHome</t>
        </is>
      </c>
      <c r="P733" s="4" t="inlineStr">
        <is>
          <t>таблица «комплексные университеты» (69 вузов в таблице)</t>
        </is>
      </c>
    </row>
    <row r="734">
      <c r="A734" s="3" t="inlineStr">
        <is>
          <t>Kazakhstan|Abai Kazakh National Pedagogical University (Abai University)</t>
        </is>
      </c>
      <c r="B734" s="3" t="inlineStr">
        <is>
          <t>Kazakhstan</t>
        </is>
      </c>
      <c r="C734" s="3" t="inlineStr">
        <is>
          <t>Алматы</t>
        </is>
      </c>
      <c r="D734" s="3" t="inlineStr">
        <is>
          <t>Abai Kazakh National Pedagogical University (Abai University)</t>
        </is>
      </c>
      <c r="E734" s="3" t="inlineStr">
        <is>
          <t>Абай атындағы Қазақ ұлттық педагогикалық университеті / Казахский национальный педагогический университет имени Абая</t>
        </is>
      </c>
      <c r="F734" s="3" t="inlineStr">
        <is>
          <t>https://abai.university</t>
        </is>
      </c>
      <c r="G734" s="3" t="inlineStr"/>
      <c r="H734" s="3" t="inlineStr">
        <is>
          <t>THE2027: 2001+</t>
        </is>
      </c>
      <c r="I734" s="3" t="inlineStr"/>
      <c r="J734" s="4">
        <f>634</f>
        <v/>
      </c>
      <c r="K734" s="4" t="inlineStr">
        <is>
          <t>2001+</t>
        </is>
      </c>
      <c r="L734" s="4" t="inlineStr">
        <is>
          <t>3471</t>
        </is>
      </c>
      <c r="M734" s="4" t="inlineStr">
        <is>
          <t>IAAR — Генеральный рейтинг «ТОП-20» вузов РК (Независимый рейтинг востребованности вузов), 2026</t>
        </is>
      </c>
      <c r="N734" s="4" t="inlineStr">
        <is>
          <t>4</t>
        </is>
      </c>
      <c r="O73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34" s="4" t="inlineStr">
        <is>
          <t>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отсутствует.</t>
        </is>
      </c>
    </row>
    <row r="735">
      <c r="A735" s="3" t="inlineStr">
        <is>
          <t>Kazakhstan|Abylkas Saginov Karaganda Technical University (Saginov Technical University)</t>
        </is>
      </c>
      <c r="B735" s="3" t="inlineStr">
        <is>
          <t>Kazakhstan</t>
        </is>
      </c>
      <c r="C735" s="3" t="inlineStr">
        <is>
          <t>Караганда</t>
        </is>
      </c>
      <c r="D735" s="3" t="inlineStr">
        <is>
          <t>Abylkas Saginov Karaganda Technical University (Saginov Technical University)</t>
        </is>
      </c>
      <c r="E735" s="3" t="inlineStr">
        <is>
          <t>Әбілқас Сағынов атындағы Қарағанды техникалық университеті / Карагандинский технический университет имени Абылкаса Сагинова</t>
        </is>
      </c>
      <c r="F735" s="3" t="inlineStr">
        <is>
          <t>https://www.kstu.kz</t>
        </is>
      </c>
      <c r="G735" s="3" t="inlineStr"/>
      <c r="H735" s="3" t="inlineStr">
        <is>
          <t>THE2027: Reporter (unranked)</t>
        </is>
      </c>
      <c r="I735" s="3" t="inlineStr"/>
      <c r="J735" s="4" t="inlineStr">
        <is>
          <t>1001–1200</t>
        </is>
      </c>
      <c r="K735" s="4" t="inlineStr">
        <is>
          <t>Reporter</t>
        </is>
      </c>
      <c r="L735" s="4" t="inlineStr">
        <is>
          <t>5244</t>
        </is>
      </c>
      <c r="M735" s="4" t="inlineStr">
        <is>
          <t>IAAR — Генеральный рейтинг «ТОП-20» вузов РК (Независимый рейтинг востребованности вузов), 2026</t>
        </is>
      </c>
      <c r="N735" s="4" t="inlineStr">
        <is>
          <t>6</t>
        </is>
      </c>
      <c r="O73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35" s="4" t="inlineStr">
        <is>
          <t>Место в Генеральном рейтинге ТОП-20 IAAR 2026 (стр. 73–74 буклета; места делятся несколькими вузами, всего 32 вуза на 20 местах). IQAA-2026: 2 место в категории «Технические вузы».</t>
        </is>
      </c>
    </row>
    <row r="736">
      <c r="A736" s="3" t="inlineStr">
        <is>
          <t>Kazakhstan|Al-Farabi Kazakh National University</t>
        </is>
      </c>
      <c r="B736" s="3" t="inlineStr">
        <is>
          <t>Kazakhstan</t>
        </is>
      </c>
      <c r="C736" s="3" t="inlineStr">
        <is>
          <t>Алматы</t>
        </is>
      </c>
      <c r="D736" s="3" t="inlineStr">
        <is>
          <t>Al-Farabi Kazakh National University</t>
        </is>
      </c>
      <c r="E736" s="3" t="inlineStr">
        <is>
          <t>Әл-Фараби атындағы Қазақ ұлттық университеті / Казахский национальный университет имени аль-Фараби</t>
        </is>
      </c>
      <c r="F736" s="3" t="inlineStr">
        <is>
          <t>https://farabi.university</t>
        </is>
      </c>
      <c r="G736" s="3" t="inlineStr"/>
      <c r="H736" s="3" t="inlineStr">
        <is>
          <t>THE2027: 1401–1600</t>
        </is>
      </c>
      <c r="I736" s="3" t="inlineStr"/>
      <c r="J736" s="4">
        <f>177</f>
        <v/>
      </c>
      <c r="K736" s="4" t="inlineStr">
        <is>
          <t>1401–1600</t>
        </is>
      </c>
      <c r="L736" s="4" t="inlineStr">
        <is>
          <t>1425</t>
        </is>
      </c>
      <c r="M736" s="4" t="inlineStr">
        <is>
          <t>IAAR — Генеральный рейтинг «ТОП-20» вузов РК (Независимый рейтинг востребованности вузов), 2026</t>
        </is>
      </c>
      <c r="N736" s="4" t="inlineStr">
        <is>
          <t>1</t>
        </is>
      </c>
      <c r="O73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36" s="4" t="inlineStr">
        <is>
          <t>QS: в таблице как «Farabi University (former Al - Farabi Kazakh National University)»; Место в Генеральном рейтинге ТОП-20 IAAR 2026 (стр. 73–74 буклета; места делятся несколькими вузами, всего 32 вуза на 20 местах). IQAA-2026: 1 место в категории «Многопрофильные вузы».</t>
        </is>
      </c>
    </row>
    <row r="737">
      <c r="A737" s="3" t="inlineStr">
        <is>
          <t>Kazakhstan|Alikhan Bokeikhan University</t>
        </is>
      </c>
      <c r="B737" s="3" t="inlineStr">
        <is>
          <t>Kazakhstan</t>
        </is>
      </c>
      <c r="C737" s="3" t="inlineStr">
        <is>
          <t>Семей</t>
        </is>
      </c>
      <c r="D737" s="3" t="inlineStr">
        <is>
          <t>Alikhan Bokeikhan University</t>
        </is>
      </c>
      <c r="E737" s="3" t="inlineStr">
        <is>
          <t>Әлихан Бөкейхан университеті / Университет Алихана Бокейхана</t>
        </is>
      </c>
      <c r="F737" s="3" t="inlineStr">
        <is>
          <t>https://abu.edu.kz</t>
        </is>
      </c>
      <c r="G737" s="3" t="inlineStr"/>
      <c r="H737" s="3" t="inlineStr">
        <is>
          <t>THE2027: Reporter (unranked)</t>
        </is>
      </c>
      <c r="I737" s="3" t="inlineStr"/>
      <c r="J737" s="4" t="inlineStr">
        <is>
          <t>не в рейтинге</t>
        </is>
      </c>
      <c r="K737" s="4" t="inlineStr">
        <is>
          <t>Reporter</t>
        </is>
      </c>
      <c r="L737" s="4" t="inlineStr">
        <is>
          <t>нет в опубл. списке (опубликован только топ-15 страны)</t>
        </is>
      </c>
      <c r="M737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37" s="4" t="inlineStr">
        <is>
          <t>не в рейтинге</t>
        </is>
      </c>
      <c r="O737" s="4" t="inlineStr">
        <is>
          <t>https://www.timeshighereducation.com/world-university-rankings/2027/world-ranking
https://iaar.agency/storage/photos/shares/Rating/2026/буклет рейтинг 2026 +++.pdf</t>
        </is>
      </c>
      <c r="P737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38">
      <c r="A738" s="3" t="inlineStr">
        <is>
          <t>Kazakhstan|Almaty Management University (AlmaU)</t>
        </is>
      </c>
      <c r="B738" s="3" t="inlineStr">
        <is>
          <t>Kazakhstan</t>
        </is>
      </c>
      <c r="C738" s="3" t="inlineStr">
        <is>
          <t>Алматы</t>
        </is>
      </c>
      <c r="D738" s="3" t="inlineStr">
        <is>
          <t>Almaty Management University (AlmaU)</t>
        </is>
      </c>
      <c r="E738" s="3" t="inlineStr">
        <is>
          <t>Алматы Менеджмент Университеті / Алматы Менеджмент Университет</t>
        </is>
      </c>
      <c r="F738" s="3" t="inlineStr">
        <is>
          <t>https://almau.edu.kz</t>
        </is>
      </c>
      <c r="G738" s="3" t="inlineStr"/>
      <c r="H738" s="3" t="inlineStr">
        <is>
          <t>THE2027: Reporter (unranked)</t>
        </is>
      </c>
      <c r="I738" s="3" t="inlineStr"/>
      <c r="J738" s="4" t="inlineStr">
        <is>
          <t>не в рейтинге</t>
        </is>
      </c>
      <c r="K738" s="4" t="inlineStr">
        <is>
          <t>Reporter</t>
        </is>
      </c>
      <c r="L738" s="4" t="inlineStr">
        <is>
          <t>нет в опубл. списке (опубликован только топ-15 страны)</t>
        </is>
      </c>
      <c r="M738" s="4" t="inlineStr">
        <is>
          <t>IQAA-Ranking — Национальный рейтинг ведущих вузов РК (по категориям), 2026</t>
        </is>
      </c>
      <c r="N738" s="4" t="inlineStr">
        <is>
          <t>1</t>
        </is>
      </c>
      <c r="O738" s="4" t="inlineStr">
        <is>
          <t>https://www.timeshighereducation.com/world-university-rankings/2027/world-ranking
https://iqaa-ranking.kz/</t>
        </is>
      </c>
      <c r="P738" s="4" t="inlineStr">
        <is>
          <t>Место внутри категории «Гуманитарно-экономические вузы» (не общий сквозной рейтинг) по данным iqaa-ranking.kz, 2026. В Генеральный ТОП-20 IAAR 2026 не вошёл.</t>
        </is>
      </c>
    </row>
    <row r="739">
      <c r="A739" s="3" t="inlineStr">
        <is>
          <t>Kazakhstan|Almaty Technological University (ATU)</t>
        </is>
      </c>
      <c r="B739" s="3" t="inlineStr">
        <is>
          <t>Kazakhstan</t>
        </is>
      </c>
      <c r="C739" s="3" t="inlineStr">
        <is>
          <t>Алматы</t>
        </is>
      </c>
      <c r="D739" s="3" t="inlineStr">
        <is>
          <t>Almaty Technological University (ATU)</t>
        </is>
      </c>
      <c r="E739" s="3" t="inlineStr">
        <is>
          <t>Алматы технологиялық университеті / Алматинский технологический университет</t>
        </is>
      </c>
      <c r="F739" s="3" t="inlineStr">
        <is>
          <t>https://atu.edu.kz</t>
        </is>
      </c>
      <c r="G739" s="3" t="inlineStr"/>
      <c r="H739" s="3" t="inlineStr">
        <is>
          <t>THE2027: Reporter (unranked)</t>
        </is>
      </c>
      <c r="I739" s="3" t="inlineStr"/>
      <c r="J739" s="4" t="inlineStr">
        <is>
          <t>1001–1200</t>
        </is>
      </c>
      <c r="K739" s="4" t="inlineStr">
        <is>
          <t>Reporter</t>
        </is>
      </c>
      <c r="L739" s="4" t="inlineStr">
        <is>
          <t>нет в опубл. списке (опубликован только топ-15 страны)</t>
        </is>
      </c>
      <c r="M739" s="4" t="inlineStr">
        <is>
          <t>IAAR — Генеральный рейтинг «ТОП-20» вузов РК (Независимый рейтинг востребованности вузов), 2026</t>
        </is>
      </c>
      <c r="N739" s="4" t="inlineStr">
        <is>
          <t>4</t>
        </is>
      </c>
      <c r="O739" s="4" t="inlineStr">
        <is>
          <t>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P739" s="4" t="inlineStr">
        <is>
          <t>Место в Генеральном рейтинге ТОП-20 IAAR 2026 (стр. 73–74 буклета; места делятся несколькими вузами, всего 32 вуза на 20 местах). IQAA-2026: 3 место в категории «Технические вузы».</t>
        </is>
      </c>
    </row>
    <row r="740">
      <c r="A740" s="3" t="inlineStr">
        <is>
          <t>Kazakhstan|Almaty University of Power Engineering and Telecommunications named after Gumarbek Daukeev (Energo University)</t>
        </is>
      </c>
      <c r="B740" s="3" t="inlineStr">
        <is>
          <t>Kazakhstan</t>
        </is>
      </c>
      <c r="C740" s="3" t="inlineStr">
        <is>
          <t>Алматы</t>
        </is>
      </c>
      <c r="D740" s="3" t="inlineStr">
        <is>
          <t>Almaty University of Power Engineering and Telecommunications named after Gumarbek Daukeev (Energo University)</t>
        </is>
      </c>
      <c r="E740" s="3" t="inlineStr">
        <is>
          <t>Ғұмарбек Дәукеев атындағы Алматы энергетика және байланыс университеті / Алматинский университет энергетики и связи имени Гумарбека Даукеева</t>
        </is>
      </c>
      <c r="F740" s="3" t="inlineStr">
        <is>
          <t>https://energo.university</t>
        </is>
      </c>
      <c r="G740" s="3" t="inlineStr"/>
      <c r="H740" s="3" t="inlineStr"/>
      <c r="I740" s="3" t="inlineStr"/>
      <c r="J740" s="4" t="inlineStr">
        <is>
          <t>не в рейтинге</t>
        </is>
      </c>
      <c r="K740" s="4" t="inlineStr">
        <is>
          <t>не в рейтинге</t>
        </is>
      </c>
      <c r="L740" s="4" t="inlineStr">
        <is>
          <t>нет в опубл. списке (опубликован только топ-15 страны)</t>
        </is>
      </c>
      <c r="M740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40" s="4" t="inlineStr">
        <is>
          <t>не в рейтинге</t>
        </is>
      </c>
      <c r="O740" s="4" t="inlineStr">
        <is>
          <t>https://iaar.agency/storage/photos/shares/Rating/2026/буклет рейтинг 2026 +++.pdf</t>
        </is>
      </c>
      <c r="P740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41">
      <c r="A741" s="3" t="inlineStr">
        <is>
          <t>Kazakhstan|Astana IT University (AITU)</t>
        </is>
      </c>
      <c r="B741" s="3" t="inlineStr">
        <is>
          <t>Kazakhstan</t>
        </is>
      </c>
      <c r="C741" s="3" t="inlineStr">
        <is>
          <t>Астана</t>
        </is>
      </c>
      <c r="D741" s="3" t="inlineStr">
        <is>
          <t>Astana IT University (AITU)</t>
        </is>
      </c>
      <c r="E741" s="3" t="inlineStr">
        <is>
          <t>Astana IT University / ТОО «Astana IT University»</t>
        </is>
      </c>
      <c r="F741" s="3" t="inlineStr">
        <is>
          <t>https://astanait.edu.kz</t>
        </is>
      </c>
      <c r="G741" s="3" t="inlineStr"/>
      <c r="H741" s="3" t="inlineStr">
        <is>
          <t>THE2027: Reporter (unranked)</t>
        </is>
      </c>
      <c r="I741" s="3" t="inlineStr"/>
      <c r="J741" s="4" t="inlineStr">
        <is>
          <t>не в рейтинге</t>
        </is>
      </c>
      <c r="K741" s="4" t="inlineStr">
        <is>
          <t>Reporter</t>
        </is>
      </c>
      <c r="L741" s="4" t="inlineStr">
        <is>
          <t>нет в опубл. списке (опубликован только топ-15 страны)</t>
        </is>
      </c>
      <c r="M741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41" s="4" t="inlineStr">
        <is>
          <t>не в рейтинге</t>
        </is>
      </c>
      <c r="O741" s="4" t="inlineStr">
        <is>
          <t>https://www.timeshighereducation.com/world-university-rankings/2027/world-ranking
https://iaar.agency/storage/photos/shares/Rating/2026/буклет рейтинг 2026 +++.pdf</t>
        </is>
      </c>
      <c r="P741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42">
      <c r="A742" s="3" t="inlineStr">
        <is>
          <t>Kazakhstan|Astana International University (AIU)</t>
        </is>
      </c>
      <c r="B742" s="3" t="inlineStr">
        <is>
          <t>Kazakhstan</t>
        </is>
      </c>
      <c r="C742" s="3" t="inlineStr">
        <is>
          <t>Астана</t>
        </is>
      </c>
      <c r="D742" s="3" t="inlineStr">
        <is>
          <t>Astana International University (AIU)</t>
        </is>
      </c>
      <c r="E742" s="3" t="inlineStr">
        <is>
          <t>Астана халықаралық университеті / Международный университет Астана</t>
        </is>
      </c>
      <c r="F742" s="3" t="inlineStr">
        <is>
          <t>https://aiu.kz</t>
        </is>
      </c>
      <c r="G742" s="3" t="inlineStr"/>
      <c r="H742" s="3" t="inlineStr">
        <is>
          <t>THE2027: Reporter (unranked)</t>
        </is>
      </c>
      <c r="I742" s="3" t="inlineStr"/>
      <c r="J742" s="4" t="inlineStr">
        <is>
          <t>не в рейтинге</t>
        </is>
      </c>
      <c r="K742" s="4" t="inlineStr">
        <is>
          <t>Reporter</t>
        </is>
      </c>
      <c r="L742" s="4" t="inlineStr">
        <is>
          <t>нет в опубл. списке (опубликован только топ-15 страны)</t>
        </is>
      </c>
      <c r="M742" s="4" t="inlineStr">
        <is>
          <t>IQAA-Ranking — Национальный рейтинг ведущих вузов РК (по категориям), 2026</t>
        </is>
      </c>
      <c r="N742" s="4" t="inlineStr">
        <is>
          <t>6</t>
        </is>
      </c>
      <c r="O742" s="4" t="inlineStr">
        <is>
          <t>https://www.timeshighereducation.com/world-university-rankings/2027/world-ranking
https://iqaa-ranking.kz/</t>
        </is>
      </c>
      <c r="P742" s="4" t="inlineStr">
        <is>
          <t>Место внутри категории «Многопрофильные вузы» (не общий сквозной рейтинг) по данным iqaa-ranking.kz, 2026. В Генеральный ТОП-20 IAAR 2026 не вошёл.</t>
        </is>
      </c>
    </row>
    <row r="743">
      <c r="A743" s="3" t="inlineStr">
        <is>
          <t>Kazakhstan|Caspian University</t>
        </is>
      </c>
      <c r="B743" s="3" t="inlineStr">
        <is>
          <t>Kazakhstan</t>
        </is>
      </c>
      <c r="C743" s="3" t="inlineStr">
        <is>
          <t>Алматы</t>
        </is>
      </c>
      <c r="D743" s="3" t="inlineStr">
        <is>
          <t>Caspian University</t>
        </is>
      </c>
      <c r="E743" s="3" t="inlineStr">
        <is>
          <t>Caspian University / Каспийский общественный университет</t>
        </is>
      </c>
      <c r="F743" s="3" t="inlineStr">
        <is>
          <t>https://cu.edu.kz</t>
        </is>
      </c>
      <c r="G743" s="3" t="inlineStr"/>
      <c r="H743" s="3" t="inlineStr">
        <is>
          <t>THE2027: Reporter (unranked)</t>
        </is>
      </c>
      <c r="I743" s="3" t="inlineStr"/>
      <c r="J743" s="4" t="inlineStr">
        <is>
          <t>не в рейтинге</t>
        </is>
      </c>
      <c r="K743" s="4" t="inlineStr">
        <is>
          <t>Reporter</t>
        </is>
      </c>
      <c r="L743" s="4" t="inlineStr">
        <is>
          <t>нет в опубл. списке (опубликован только топ-15 страны)</t>
        </is>
      </c>
      <c r="M743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43" s="4" t="inlineStr">
        <is>
          <t>не в рейтинге</t>
        </is>
      </c>
      <c r="O743" s="4" t="inlineStr">
        <is>
          <t>https://www.timeshighereducation.com/world-university-rankings/2027/world-ranking
https://iaar.agency/storage/photos/shares/Rating/2026/буклет рейтинг 2026 +++.pdf</t>
        </is>
      </c>
      <c r="P743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44">
      <c r="A744" s="3" t="inlineStr">
        <is>
          <t>Kazakhstan|D. Serikbayev East Kazakhstan Technical University (EKTU)</t>
        </is>
      </c>
      <c r="B744" s="3" t="inlineStr">
        <is>
          <t>Kazakhstan</t>
        </is>
      </c>
      <c r="C744" s="3" t="inlineStr">
        <is>
          <t>Усть-Каменогорск</t>
        </is>
      </c>
      <c r="D744" s="3" t="inlineStr">
        <is>
          <t>D. Serikbayev East Kazakhstan Technical University (EKTU)</t>
        </is>
      </c>
      <c r="E744" s="3" t="inlineStr">
        <is>
          <t>Д. Серікбаев атындағы Шығыс Қазақстан техникалық университеті / Восточно-Казахстанский технический университет имени Д. Серикбаева</t>
        </is>
      </c>
      <c r="F744" s="3" t="inlineStr">
        <is>
          <t>https://www.ektu.kz</t>
        </is>
      </c>
      <c r="G744" s="3" t="inlineStr"/>
      <c r="H744" s="3" t="inlineStr">
        <is>
          <t>THE2027: Reporter (unranked)</t>
        </is>
      </c>
      <c r="I744" s="3" t="inlineStr"/>
      <c r="J744" s="4" t="inlineStr">
        <is>
          <t>1001–1200</t>
        </is>
      </c>
      <c r="K744" s="4" t="inlineStr">
        <is>
          <t>Reporter</t>
        </is>
      </c>
      <c r="L744" s="4" t="inlineStr">
        <is>
          <t>нет в опубл. списке (опубликован только топ-15 страны)</t>
        </is>
      </c>
      <c r="M744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44" s="4" t="inlineStr">
        <is>
          <t>не в рейтинге</t>
        </is>
      </c>
      <c r="O744" s="4" t="inlineStr">
        <is>
          <t>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P744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45">
      <c r="A745" s="3" t="inlineStr">
        <is>
          <t>Kazakhstan|Institute of Space Technique and Technology LLP (ISTT)</t>
        </is>
      </c>
      <c r="B745" s="3" t="inlineStr">
        <is>
          <t>Kazakhstan</t>
        </is>
      </c>
      <c r="C745" s="3" t="inlineStr">
        <is>
          <t>Алматы</t>
        </is>
      </c>
      <c r="D745" s="3" t="inlineStr">
        <is>
          <t>Institute of Space Technique and Technology LLP (ISTT)</t>
        </is>
      </c>
      <c r="E745" s="3" t="inlineStr">
        <is>
          <t>«Ғарыштық техника және технологиялар институты» ЖШС / ТОО «Институт космической техники и технологий»</t>
        </is>
      </c>
      <c r="F745" s="3" t="inlineStr">
        <is>
          <t>https://istt.kz</t>
        </is>
      </c>
      <c r="G745" s="3" t="inlineStr"/>
      <c r="H745" s="3" t="inlineStr"/>
      <c r="I745" s="3" t="inlineStr"/>
      <c r="J745" s="4" t="inlineStr">
        <is>
          <t>не в рейтинге</t>
        </is>
      </c>
      <c r="K745" s="4" t="inlineStr">
        <is>
          <t>не в рейтинге</t>
        </is>
      </c>
      <c r="L745" s="4" t="inlineStr">
        <is>
          <t>нет в опубл. списке (опубликован только топ-15 страны)</t>
        </is>
      </c>
      <c r="M745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45" s="4" t="inlineStr">
        <is>
          <t>не в рейтинге</t>
        </is>
      </c>
      <c r="O745" s="4" t="inlineStr">
        <is>
          <t>https://iaar.agency/storage/photos/shares/Rating/2026/буклет рейтинг 2026 +++.pdf</t>
        </is>
      </c>
      <c r="P745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46">
      <c r="A746" s="3" t="inlineStr">
        <is>
          <t>Kazakhstan|International Educational Corporation (IEC)</t>
        </is>
      </c>
      <c r="B746" s="3" t="inlineStr">
        <is>
          <t>Kazakhstan</t>
        </is>
      </c>
      <c r="C746" s="3" t="inlineStr">
        <is>
          <t>Алматы</t>
        </is>
      </c>
      <c r="D746" s="3" t="inlineStr">
        <is>
          <t>International Educational Corporation (IEC)</t>
        </is>
      </c>
      <c r="E746" s="3" t="inlineStr">
        <is>
          <t>Халықаралық білім беру корпорациясы / Международная образовательная корпорация (МОК)</t>
        </is>
      </c>
      <c r="F746" s="3" t="inlineStr">
        <is>
          <t>https://iec.edu.kz</t>
        </is>
      </c>
      <c r="G746" s="3" t="inlineStr"/>
      <c r="H746" s="3" t="inlineStr">
        <is>
          <t>THE2027: Reporter (unranked)</t>
        </is>
      </c>
      <c r="I746" s="3" t="inlineStr"/>
      <c r="J746" s="4" t="inlineStr">
        <is>
          <t>не в рейтинге</t>
        </is>
      </c>
      <c r="K746" s="4" t="inlineStr">
        <is>
          <t>Reporter</t>
        </is>
      </c>
      <c r="L746" s="4" t="inlineStr">
        <is>
          <t>нет в опубл. списке (опубликован только топ-15 страны)</t>
        </is>
      </c>
      <c r="M746" s="4" t="inlineStr">
        <is>
          <t>IQAA-Ranking — Национальный рейтинг ведущих вузов РК (по категориям), 2026</t>
        </is>
      </c>
      <c r="N746" s="4" t="inlineStr">
        <is>
          <t>7</t>
        </is>
      </c>
      <c r="O746" s="4" t="inlineStr">
        <is>
          <t>https://www.timeshighereducation.com/world-university-rankings/2027/world-ranking
https://iqaa-ranking.kz/</t>
        </is>
      </c>
      <c r="P746" s="4" t="inlineStr">
        <is>
          <t>Место внутри категории «Многопрофильные вузы» (не общий сквозной рейтинг) по данным iqaa-ranking.kz, 2026. В Генеральный ТОП-20 IAAR 2026 не вошёл.</t>
        </is>
      </c>
    </row>
    <row r="747">
      <c r="A747" s="3" t="inlineStr">
        <is>
          <t>Kazakhstan|International Engineering and Technological University (METU, formerly KazETU)</t>
        </is>
      </c>
      <c r="B747" s="3" t="inlineStr">
        <is>
          <t>Kazakhstan</t>
        </is>
      </c>
      <c r="C747" s="3" t="inlineStr">
        <is>
          <t>Алматы</t>
        </is>
      </c>
      <c r="D747" s="3" t="inlineStr">
        <is>
          <t>International Engineering and Technological University (METU, formerly KazETU)</t>
        </is>
      </c>
      <c r="E747" s="3" t="inlineStr">
        <is>
          <t>Халықаралық инженерлік-технологиялық университеті / Международный инженерно-технологический университет (МИТУ)</t>
        </is>
      </c>
      <c r="F747" s="3" t="inlineStr">
        <is>
          <t>https://metu.edu.kz</t>
        </is>
      </c>
      <c r="G747" s="3" t="inlineStr"/>
      <c r="H747" s="3" t="inlineStr">
        <is>
          <t>THE2027: Reporter (unranked)</t>
        </is>
      </c>
      <c r="I747" s="3" t="inlineStr"/>
      <c r="J747" s="4" t="inlineStr">
        <is>
          <t>не в рейтинге</t>
        </is>
      </c>
      <c r="K747" s="4" t="inlineStr">
        <is>
          <t>Reporter</t>
        </is>
      </c>
      <c r="L747" s="4" t="inlineStr">
        <is>
          <t>нет в опубл. списке (опубликован только топ-15 страны)</t>
        </is>
      </c>
      <c r="M747" s="4" t="inlineStr">
        <is>
          <t>IAAR — Генеральный рейтинг «ТОП-20» вузов РК (Независимый рейтинг востребованности вузов), 2026</t>
        </is>
      </c>
      <c r="N747" s="4" t="inlineStr">
        <is>
          <t>11</t>
        </is>
      </c>
      <c r="O747" s="4" t="inlineStr">
        <is>
          <t>https://www.timeshighereducation.com/world-university-rankings/2027/world-ranking
https://iaar.agency/storage/photos/shares/Rating/2026/буклет рейтинг 2026 +++.pdf</t>
        </is>
      </c>
      <c r="P747" s="4" t="inlineStr">
        <is>
          <t>THE: в таблице как «International Engineering and Technology University»; Место в Генеральном рейтинге ТОП-20 IAAR 2026 (стр. 73–74 буклета; места делятся несколькими вузами, всего 32 вуза на 20 местах). IQAA-2026: 6 место в категории «Технические вузы».</t>
        </is>
      </c>
    </row>
    <row r="748">
      <c r="A748" s="3" t="inlineStr">
        <is>
          <t>Kazakhstan|International University of Tourism and Hospitality (IUTH)</t>
        </is>
      </c>
      <c r="B748" s="3" t="inlineStr">
        <is>
          <t>Kazakhstan</t>
        </is>
      </c>
      <c r="C748" s="3" t="inlineStr">
        <is>
          <t>Туркестан</t>
        </is>
      </c>
      <c r="D748" s="3" t="inlineStr">
        <is>
          <t>International University of Tourism and Hospitality (IUTH)</t>
        </is>
      </c>
      <c r="E748" s="3" t="inlineStr">
        <is>
          <t>Халықаралық туризм және меймандостық университеті / Международный университет туризма и гостеприимства</t>
        </is>
      </c>
      <c r="F748" s="3" t="inlineStr">
        <is>
          <t>https://iuth.edu.kz</t>
        </is>
      </c>
      <c r="G748" s="3" t="inlineStr"/>
      <c r="H748" s="3" t="inlineStr">
        <is>
          <t>THE2027: Reporter (unranked)</t>
        </is>
      </c>
      <c r="I748" s="3" t="inlineStr"/>
      <c r="J748" s="4" t="inlineStr">
        <is>
          <t>не в рейтинге</t>
        </is>
      </c>
      <c r="K748" s="4" t="inlineStr">
        <is>
          <t>Reporter</t>
        </is>
      </c>
      <c r="L748" s="4" t="inlineStr">
        <is>
          <t>нет в опубл. списке (опубликован только топ-15 страны)</t>
        </is>
      </c>
      <c r="M748" s="4" t="inlineStr">
        <is>
          <t>IQAA-Ranking — Национальный рейтинг ведущих вузов РК (по категориям), 2026</t>
        </is>
      </c>
      <c r="N748" s="4" t="inlineStr">
        <is>
          <t>5</t>
        </is>
      </c>
      <c r="O748" s="4" t="inlineStr">
        <is>
          <t>https://www.timeshighereducation.com/world-university-rankings/2027/world-ranking
https://iqaa-ranking.kz/</t>
        </is>
      </c>
      <c r="P748" s="4" t="inlineStr">
        <is>
          <t>Место внутри категории «Гуманитарно-экономические вузы» (не общий сквозной рейтинг) по данным iqaa-ranking.kz, 2026. В Генеральный ТОП-20 IAAR 2026 не вошёл.</t>
        </is>
      </c>
    </row>
    <row r="749">
      <c r="A749" s="3" t="inlineStr">
        <is>
          <t>Kazakhstan|K. Zhubanov Aktobe Regional University</t>
        </is>
      </c>
      <c r="B749" s="3" t="inlineStr">
        <is>
          <t>Kazakhstan</t>
        </is>
      </c>
      <c r="C749" s="3" t="inlineStr">
        <is>
          <t>Актобе</t>
        </is>
      </c>
      <c r="D749" s="3" t="inlineStr">
        <is>
          <t>K. Zhubanov Aktobe Regional University</t>
        </is>
      </c>
      <c r="E749" s="3" t="inlineStr">
        <is>
          <t>Қ. Жұбанов атындағы Ақтөбе өңірлік университеті / Актюбинский региональный университет имени К. Жубанова</t>
        </is>
      </c>
      <c r="F749" s="3" t="inlineStr">
        <is>
          <t>https://zhubanov.edu.kz</t>
        </is>
      </c>
      <c r="G749" s="3" t="inlineStr"/>
      <c r="H749" s="3" t="inlineStr">
        <is>
          <t>THE2027: Reporter (unranked)</t>
        </is>
      </c>
      <c r="I749" s="3" t="inlineStr"/>
      <c r="J749" s="4" t="inlineStr">
        <is>
          <t>не в рейтинге</t>
        </is>
      </c>
      <c r="K749" s="4" t="inlineStr">
        <is>
          <t>Reporter</t>
        </is>
      </c>
      <c r="L749" s="4" t="inlineStr">
        <is>
          <t>нет в опубл. списке (опубликован только топ-15 страны)</t>
        </is>
      </c>
      <c r="M749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49" s="4" t="inlineStr">
        <is>
          <t>не в рейтинге</t>
        </is>
      </c>
      <c r="O749" s="4" t="inlineStr">
        <is>
          <t>https://www.timeshighereducation.com/world-university-rankings/2027/world-ranking
https://iaar.agency/storage/photos/shares/Rating/2026/буклет рейтинг 2026 +++.pdf</t>
        </is>
      </c>
      <c r="P749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50">
      <c r="A750" s="3" t="inlineStr">
        <is>
          <t>Kazakhstan|Karaganda Buketov University (Academician E.A. Buketov Karaganda University)</t>
        </is>
      </c>
      <c r="B750" s="3" t="inlineStr">
        <is>
          <t>Kazakhstan</t>
        </is>
      </c>
      <c r="C750" s="3" t="inlineStr">
        <is>
          <t>Караганда</t>
        </is>
      </c>
      <c r="D750" s="3" t="inlineStr">
        <is>
          <t>Karaganda Buketov University (Academician E.A. Buketov Karaganda University)</t>
        </is>
      </c>
      <c r="E750" s="3" t="inlineStr">
        <is>
          <t>Академик Е.А. Бөкетов атындағы Қарағанды университеті / Карагандинский университет имени академика Е.А. Букетова</t>
        </is>
      </c>
      <c r="F750" s="3" t="inlineStr">
        <is>
          <t>https://buketov.edu.kz</t>
        </is>
      </c>
      <c r="G750" s="3" t="inlineStr"/>
      <c r="H750" s="3" t="inlineStr">
        <is>
          <t>THE2027: 2001+</t>
        </is>
      </c>
      <c r="I750" s="3" t="inlineStr"/>
      <c r="J750" s="4" t="inlineStr">
        <is>
          <t>не в рейтинге</t>
        </is>
      </c>
      <c r="K750" s="4" t="inlineStr">
        <is>
          <t>2001+</t>
        </is>
      </c>
      <c r="L750" s="4" t="inlineStr">
        <is>
          <t>4631</t>
        </is>
      </c>
      <c r="M750" s="4" t="inlineStr">
        <is>
          <t>IAAR — Генеральный рейтинг «ТОП-20» вузов РК (Независимый рейтинг востребованности вузов), 2026</t>
        </is>
      </c>
      <c r="N750" s="4" t="inlineStr">
        <is>
          <t>5</t>
        </is>
      </c>
      <c r="O750" s="4" t="inlineStr">
        <is>
          <t>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50" s="4" t="inlineStr">
        <is>
          <t>Место в Генеральном рейтинге ТОП-20 IAAR 2026 (стр. 73–74 буклета; места делятся несколькими вузами, всего 32 вуза на 20 местах). IQAA-2026: 4 место в категории «Многопрофильные вузы».</t>
        </is>
      </c>
    </row>
    <row r="751">
      <c r="A751" s="3" t="inlineStr">
        <is>
          <t>Kazakhstan|Karaganda University of Kazpotrebsoyuz</t>
        </is>
      </c>
      <c r="B751" s="3" t="inlineStr">
        <is>
          <t>Kazakhstan</t>
        </is>
      </c>
      <c r="C751" s="3" t="inlineStr">
        <is>
          <t>Караганда</t>
        </is>
      </c>
      <c r="D751" s="3" t="inlineStr">
        <is>
          <t>Karaganda University of Kazpotrebsoyuz</t>
        </is>
      </c>
      <c r="E751" s="3" t="inlineStr">
        <is>
          <t>Қазтұтынуодағы Қарағанды университеті / Карагандинский университет Казпотребсоюза</t>
        </is>
      </c>
      <c r="F751" s="3" t="inlineStr">
        <is>
          <t>https://keu.kz</t>
        </is>
      </c>
      <c r="G751" s="3" t="inlineStr"/>
      <c r="H751" s="3" t="inlineStr">
        <is>
          <t>THE2027: Reporter (unranked)</t>
        </is>
      </c>
      <c r="I751" s="3" t="inlineStr"/>
      <c r="J751" s="4" t="inlineStr">
        <is>
          <t>не в рейтинге</t>
        </is>
      </c>
      <c r="K751" s="4" t="inlineStr">
        <is>
          <t>Reporter</t>
        </is>
      </c>
      <c r="L751" s="4" t="inlineStr">
        <is>
          <t>нет в опубл. списке (опубликован только топ-15 страны)</t>
        </is>
      </c>
      <c r="M751" s="4" t="inlineStr">
        <is>
          <t>IQAA-Ranking — Национальный рейтинг ведущих вузов РК (по категориям), 2026</t>
        </is>
      </c>
      <c r="N751" s="4" t="inlineStr">
        <is>
          <t>3</t>
        </is>
      </c>
      <c r="O751" s="4" t="inlineStr">
        <is>
          <t>https://www.timeshighereducation.com/world-university-rankings/2027/world-ranking
https://iqaa-ranking.kz/</t>
        </is>
      </c>
      <c r="P751" s="4" t="inlineStr">
        <is>
          <t>Место внутри категории «Гуманитарно-экономические вузы» (не общий сквозной рейтинг) по данным iqaa-ranking.kz, 2026. В Генеральный ТОП-20 IAAR 2026 не вошёл.</t>
        </is>
      </c>
    </row>
    <row r="752">
      <c r="A752" s="3" t="inlineStr">
        <is>
          <t>Kazakhstan|Kazakh National Agrarian Research University (KazNARU)</t>
        </is>
      </c>
      <c r="B752" s="3" t="inlineStr">
        <is>
          <t>Kazakhstan</t>
        </is>
      </c>
      <c r="C752" s="3" t="inlineStr">
        <is>
          <t>Алматы</t>
        </is>
      </c>
      <c r="D752" s="3" t="inlineStr">
        <is>
          <t>Kazakh National Agrarian Research University (KazNARU)</t>
        </is>
      </c>
      <c r="E752" s="3" t="inlineStr">
        <is>
          <t>Қазақ ұлттық аграрлық зерттеу университеті / Казахский национальный аграрный исследовательский университет</t>
        </is>
      </c>
      <c r="F752" s="3" t="inlineStr">
        <is>
          <t>https://kaznaru.edu.kz</t>
        </is>
      </c>
      <c r="G752" s="3" t="inlineStr"/>
      <c r="H752" s="3" t="inlineStr">
        <is>
          <t>THE2027: 2001+</t>
        </is>
      </c>
      <c r="I752" s="3" t="inlineStr"/>
      <c r="J752" s="4" t="inlineStr">
        <is>
          <t>781–790</t>
        </is>
      </c>
      <c r="K752" s="4" t="inlineStr">
        <is>
          <t>2001+</t>
        </is>
      </c>
      <c r="L752" s="4" t="inlineStr">
        <is>
          <t>4615</t>
        </is>
      </c>
      <c r="M752" s="4" t="inlineStr">
        <is>
          <t>IAAR — Генеральный рейтинг «ТОП-20» вузов РК (Независимый рейтинг востребованности вузов), 2026</t>
        </is>
      </c>
      <c r="N752" s="4" t="inlineStr">
        <is>
          <t>6</t>
        </is>
      </c>
      <c r="O75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52" s="4" t="inlineStr">
        <is>
          <t>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отсутствует.</t>
        </is>
      </c>
    </row>
    <row r="753">
      <c r="A753" s="3" t="inlineStr">
        <is>
          <t>Kazakhstan|Kazakh National Women's Teacher Training University (QyzPU)</t>
        </is>
      </c>
      <c r="B753" s="3" t="inlineStr">
        <is>
          <t>Kazakhstan</t>
        </is>
      </c>
      <c r="C753" s="3" t="inlineStr">
        <is>
          <t>Алматы</t>
        </is>
      </c>
      <c r="D753" s="3" t="inlineStr">
        <is>
          <t>Kazakh National Women's Teacher Training University (QyzPU)</t>
        </is>
      </c>
      <c r="E753" s="3" t="inlineStr">
        <is>
          <t>Қазақ ұлттық қыздар педагогикалық университеті / Казахский национальный женский педагогический университет</t>
        </is>
      </c>
      <c r="F753" s="3" t="inlineStr">
        <is>
          <t>https://qyzpu.edu.kz</t>
        </is>
      </c>
      <c r="G753" s="3" t="inlineStr"/>
      <c r="H753" s="3" t="inlineStr">
        <is>
          <t>THE2027: Reporter (unranked)</t>
        </is>
      </c>
      <c r="I753" s="3" t="inlineStr"/>
      <c r="J753" s="4" t="inlineStr">
        <is>
          <t>не в рейтинге</t>
        </is>
      </c>
      <c r="K753" s="4" t="inlineStr">
        <is>
          <t>Reporter</t>
        </is>
      </c>
      <c r="L753" s="4" t="inlineStr">
        <is>
          <t>нет в опубл. списке (опубликован только топ-15 страны)</t>
        </is>
      </c>
      <c r="M753" s="4" t="inlineStr">
        <is>
          <t>IAAR — Генеральный рейтинг «ТОП-20» вузов РК (Независимый рейтинг востребованности вузов), 2026</t>
        </is>
      </c>
      <c r="N753" s="4" t="inlineStr">
        <is>
          <t>7</t>
        </is>
      </c>
      <c r="O753" s="4" t="inlineStr">
        <is>
          <t>https://www.timeshighereducation.com/world-university-rankings/2027/world-ranking
https://iaar.agency/storage/photos/shares/Rating/2026/буклет рейтинг 2026 +++.pdf</t>
        </is>
      </c>
      <c r="P753" s="4" t="inlineStr">
        <is>
          <t>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отсутствует.</t>
        </is>
      </c>
    </row>
    <row r="754">
      <c r="A754" s="3" t="inlineStr">
        <is>
          <t>Kazakhstan|Kazakh-British Technical University (KBTU)</t>
        </is>
      </c>
      <c r="B754" s="3" t="inlineStr">
        <is>
          <t>Kazakhstan</t>
        </is>
      </c>
      <c r="C754" s="3" t="inlineStr">
        <is>
          <t>Алматы</t>
        </is>
      </c>
      <c r="D754" s="3" t="inlineStr">
        <is>
          <t>Kazakh-British Technical University (KBTU)</t>
        </is>
      </c>
      <c r="E754" s="3" t="inlineStr">
        <is>
          <t>Қазақстан-Британ техникалық университеті / Казахстанско-Британский технический университет</t>
        </is>
      </c>
      <c r="F754" s="3" t="inlineStr">
        <is>
          <t>https://kbtu.edu.kz</t>
        </is>
      </c>
      <c r="G754" s="3" t="inlineStr"/>
      <c r="H754" s="3" t="inlineStr">
        <is>
          <t>THE2027: 2001+</t>
        </is>
      </c>
      <c r="I754" s="3" t="inlineStr"/>
      <c r="J754" s="4" t="inlineStr">
        <is>
          <t>1201–1400</t>
        </is>
      </c>
      <c r="K754" s="4" t="inlineStr">
        <is>
          <t>2001+</t>
        </is>
      </c>
      <c r="L754" s="4" t="inlineStr">
        <is>
          <t>4594</t>
        </is>
      </c>
      <c r="M754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54" s="4" t="inlineStr">
        <is>
          <t>не в рейтинге</t>
        </is>
      </c>
      <c r="O75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54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55">
      <c r="A755" s="3" t="inlineStr">
        <is>
          <t>Kazakhstan|Kh. Dosmukhamedov Atyrau University</t>
        </is>
      </c>
      <c r="B755" s="3" t="inlineStr">
        <is>
          <t>Kazakhstan</t>
        </is>
      </c>
      <c r="C755" s="3" t="inlineStr">
        <is>
          <t>Атырау</t>
        </is>
      </c>
      <c r="D755" s="3" t="inlineStr">
        <is>
          <t>Kh. Dosmukhamedov Atyrau University</t>
        </is>
      </c>
      <c r="E755" s="3" t="inlineStr">
        <is>
          <t>Халел Досмұхамедұлы атындағы Атырау университеті / Атырауский университет имени Халела Досмухамедова</t>
        </is>
      </c>
      <c r="F755" s="3" t="inlineStr">
        <is>
          <t>https://atyrau.edu.kz</t>
        </is>
      </c>
      <c r="G755" s="3" t="inlineStr"/>
      <c r="H755" s="3" t="inlineStr">
        <is>
          <t>THE2027: Reporter (unranked)</t>
        </is>
      </c>
      <c r="I755" s="3" t="inlineStr"/>
      <c r="J755" s="4" t="inlineStr">
        <is>
          <t>не в рейтинге</t>
        </is>
      </c>
      <c r="K755" s="4" t="inlineStr">
        <is>
          <t>Reporter</t>
        </is>
      </c>
      <c r="L755" s="4" t="inlineStr">
        <is>
          <t>нет в опубл. списке (опубликован только топ-15 страны)</t>
        </is>
      </c>
      <c r="M755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55" s="4" t="inlineStr">
        <is>
          <t>не в рейтинге</t>
        </is>
      </c>
      <c r="O755" s="4" t="inlineStr">
        <is>
          <t>https://www.timeshighereducation.com/world-university-rankings/2027/world-ranking
https://iaar.agency/storage/photos/shares/Rating/2026/буклет рейтинг 2026 +++.pdf</t>
        </is>
      </c>
      <c r="P755" s="4" t="inlineStr">
        <is>
          <t>THE: в таблице как «Atyrau University»; Нет ни в Генеральном ТОП-20 IAAR 2026, ни в IQAA-Ranking 2026 (обе таблицы просмотрены полностью; участие вузов добровольное).</t>
        </is>
      </c>
    </row>
    <row r="756">
      <c r="A756" s="3" t="inlineStr">
        <is>
          <t>Kazakhstan|Khoja Akhmet Yassawi International Kazakh-Turkish University (Akhmet Yassawi University)</t>
        </is>
      </c>
      <c r="B756" s="3" t="inlineStr">
        <is>
          <t>Kazakhstan</t>
        </is>
      </c>
      <c r="C756" s="3" t="inlineStr">
        <is>
          <t>Туркестан</t>
        </is>
      </c>
      <c r="D756" s="3" t="inlineStr">
        <is>
          <t>Khoja Akhmet Yassawi International Kazakh-Turkish University (Akhmet Yassawi University)</t>
        </is>
      </c>
      <c r="E756" s="3" t="inlineStr">
        <is>
          <t>Қожа Ахмет Ясауи атындағы Халықаралық қазақ-түрік университеті / Международный казахско-турецкий университет имени Ходжи Ахмеда Ясави</t>
        </is>
      </c>
      <c r="F756" s="3" t="inlineStr">
        <is>
          <t>https://ayu.edu.kz</t>
        </is>
      </c>
      <c r="G756" s="3" t="inlineStr"/>
      <c r="H756" s="3" t="inlineStr">
        <is>
          <t>THE2027: Reporter (unranked)</t>
        </is>
      </c>
      <c r="I756" s="3" t="inlineStr"/>
      <c r="J756" s="4" t="inlineStr">
        <is>
          <t>851–900</t>
        </is>
      </c>
      <c r="K756" s="4" t="inlineStr">
        <is>
          <t>Reporter</t>
        </is>
      </c>
      <c r="L756" s="4" t="inlineStr">
        <is>
          <t>нет в опубл. списке (опубликован только топ-15 страны)</t>
        </is>
      </c>
      <c r="M756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56" s="4" t="inlineStr">
        <is>
          <t>не в рейтинге</t>
        </is>
      </c>
      <c r="O756" s="4" t="inlineStr">
        <is>
          <t>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P756" s="4" t="inlineStr">
        <is>
          <t>THE: в таблице как «Akhmet Yassawi University»; Нет ни в Генеральном ТОП-20 IAAR 2026, ни в IQAA-Ranking 2026 (обе таблицы просмотрены полностью; участие вузов добровольное).</t>
        </is>
      </c>
    </row>
    <row r="757">
      <c r="A757" s="3" t="inlineStr">
        <is>
          <t>Kazakhstan|Kokshetau University named after Abai Myrzakhmetov</t>
        </is>
      </c>
      <c r="B757" s="3" t="inlineStr">
        <is>
          <t>Kazakhstan</t>
        </is>
      </c>
      <c r="C757" s="3" t="inlineStr">
        <is>
          <t>Кокшетау</t>
        </is>
      </c>
      <c r="D757" s="3" t="inlineStr">
        <is>
          <t>Kokshetau University named after Abai Myrzakhmetov</t>
        </is>
      </c>
      <c r="E757" s="3" t="inlineStr">
        <is>
          <t>Абай Мырзахметов атындағы Көкшетау университеті / Кокшетауский университет имени Абая Мырзахметова</t>
        </is>
      </c>
      <c r="F757" s="3" t="inlineStr">
        <is>
          <t>https://kuam.edu.kz</t>
        </is>
      </c>
      <c r="G757" s="3" t="inlineStr"/>
      <c r="H757" s="3" t="inlineStr">
        <is>
          <t>THE2027: Reporter (unranked)</t>
        </is>
      </c>
      <c r="I757" s="3" t="inlineStr"/>
      <c r="J757" s="4" t="inlineStr">
        <is>
          <t>не в рейтинге</t>
        </is>
      </c>
      <c r="K757" s="4" t="inlineStr">
        <is>
          <t>Reporter</t>
        </is>
      </c>
      <c r="L757" s="4" t="inlineStr">
        <is>
          <t>нет в опубл. списке (опубликован только топ-15 страны)</t>
        </is>
      </c>
      <c r="M757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57" s="4" t="inlineStr">
        <is>
          <t>не в рейтинге</t>
        </is>
      </c>
      <c r="O757" s="4" t="inlineStr">
        <is>
          <t>https://www.timeshighereducation.com/world-university-rankings/2027/world-ranking
https://iaar.agency/storage/photos/shares/Rating/2026/буклет рейтинг 2026 +++.pdf</t>
        </is>
      </c>
      <c r="P757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58">
      <c r="A758" s="3" t="inlineStr">
        <is>
          <t>Kazakhstan|Korkyt Ata Kyzylorda University</t>
        </is>
      </c>
      <c r="B758" s="3" t="inlineStr">
        <is>
          <t>Kazakhstan</t>
        </is>
      </c>
      <c r="C758" s="3" t="inlineStr">
        <is>
          <t>Кызылорда</t>
        </is>
      </c>
      <c r="D758" s="3" t="inlineStr">
        <is>
          <t>Korkyt Ata Kyzylorda University</t>
        </is>
      </c>
      <c r="E758" s="3" t="inlineStr">
        <is>
          <t>Қорқыт Ата атындағы Қызылорда университеті / Кызылординский университет имени Коркыт Ата</t>
        </is>
      </c>
      <c r="F758" s="3" t="inlineStr">
        <is>
          <t>https://korkyt.edu.kz</t>
        </is>
      </c>
      <c r="G758" s="3" t="inlineStr"/>
      <c r="H758" s="3" t="inlineStr">
        <is>
          <t>THE2027: Reporter (unranked)</t>
        </is>
      </c>
      <c r="I758" s="3" t="inlineStr"/>
      <c r="J758" s="4" t="inlineStr">
        <is>
          <t>не в рейтинге</t>
        </is>
      </c>
      <c r="K758" s="4" t="inlineStr">
        <is>
          <t>Reporter</t>
        </is>
      </c>
      <c r="L758" s="4" t="inlineStr">
        <is>
          <t>нет в опубл. списке (опубликован только топ-15 страны)</t>
        </is>
      </c>
      <c r="M758" s="4" t="inlineStr">
        <is>
          <t>IAAR — Генеральный рейтинг «ТОП-20» вузов РК (Независимый рейтинг востребованности вузов), 2026</t>
        </is>
      </c>
      <c r="N758" s="4" t="inlineStr">
        <is>
          <t>7</t>
        </is>
      </c>
      <c r="O758" s="4" t="inlineStr">
        <is>
          <t>https://www.timeshighereducation.com/world-university-rankings/2027/world-ranking
https://iaar.agency/storage/photos/shares/Rating/2026/буклет рейтинг 2026 +++.pdf</t>
        </is>
      </c>
      <c r="P758" s="4" t="inlineStr">
        <is>
          <t>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отсутствует.</t>
        </is>
      </c>
    </row>
    <row r="759">
      <c r="A759" s="3" t="inlineStr">
        <is>
          <t>Kazakhstan|L.N. Gumilyov Eurasian National University</t>
        </is>
      </c>
      <c r="B759" s="3" t="inlineStr">
        <is>
          <t>Kazakhstan</t>
        </is>
      </c>
      <c r="C759" s="3" t="inlineStr">
        <is>
          <t>Астана</t>
        </is>
      </c>
      <c r="D759" s="3" t="inlineStr">
        <is>
          <t>L.N. Gumilyov Eurasian National University</t>
        </is>
      </c>
      <c r="E759" s="3" t="inlineStr">
        <is>
          <t>Л.Н. Гумилев атындағы Еуразия ұлттық университеті / Евразийский национальный университет имени Л.Н. Гумилева</t>
        </is>
      </c>
      <c r="F759" s="3" t="inlineStr">
        <is>
          <t>https://enu.kz</t>
        </is>
      </c>
      <c r="G759" s="3" t="inlineStr"/>
      <c r="H759" s="3" t="inlineStr">
        <is>
          <t>THE2027: 1601–1800</t>
        </is>
      </c>
      <c r="I759" s="3" t="inlineStr"/>
      <c r="J759" s="4">
        <f>338</f>
        <v/>
      </c>
      <c r="K759" s="4" t="inlineStr">
        <is>
          <t>1601–1800</t>
        </is>
      </c>
      <c r="L759" s="4" t="inlineStr">
        <is>
          <t>1814</t>
        </is>
      </c>
      <c r="M759" s="4" t="inlineStr">
        <is>
          <t>IAAR — Генеральный рейтинг «ТОП-20» вузов РК (Независимый рейтинг востребованности вузов), 2026</t>
        </is>
      </c>
      <c r="N759" s="4" t="inlineStr">
        <is>
          <t>2</t>
        </is>
      </c>
      <c r="O75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59" s="4" t="inlineStr">
        <is>
          <t>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отсутствует.</t>
        </is>
      </c>
    </row>
    <row r="760">
      <c r="A760" s="3" t="inlineStr">
        <is>
          <t>Kazakhstan|M.Kh. Dulaty Taraz University (Dulaty University)</t>
        </is>
      </c>
      <c r="B760" s="3" t="inlineStr">
        <is>
          <t>Kazakhstan</t>
        </is>
      </c>
      <c r="C760" s="3" t="inlineStr">
        <is>
          <t>Тараз</t>
        </is>
      </c>
      <c r="D760" s="3" t="inlineStr">
        <is>
          <t>M.Kh. Dulaty Taraz University (Dulaty University)</t>
        </is>
      </c>
      <c r="E760" s="3" t="inlineStr">
        <is>
          <t>М.Х. Дулати атындағы Тараз университеті / Таразский университет имени М.Х. Дулати</t>
        </is>
      </c>
      <c r="F760" s="3" t="inlineStr">
        <is>
          <t>https://dulaty.kz</t>
        </is>
      </c>
      <c r="G760" s="3" t="inlineStr"/>
      <c r="H760" s="3" t="inlineStr">
        <is>
          <t>THE2027: Reporter (unranked)</t>
        </is>
      </c>
      <c r="I760" s="3" t="inlineStr"/>
      <c r="J760" s="4" t="inlineStr">
        <is>
          <t>не в рейтинге</t>
        </is>
      </c>
      <c r="K760" s="4" t="inlineStr">
        <is>
          <t>Reporter</t>
        </is>
      </c>
      <c r="L760" s="4" t="inlineStr">
        <is>
          <t>нет в опубл. списке (опубликован только топ-15 страны)</t>
        </is>
      </c>
      <c r="M760" s="4" t="inlineStr">
        <is>
          <t>IQAA-Ranking — Национальный рейтинг ведущих вузов РК (по категориям), 2026</t>
        </is>
      </c>
      <c r="N760" s="4" t="inlineStr">
        <is>
          <t>8</t>
        </is>
      </c>
      <c r="O760" s="4" t="inlineStr">
        <is>
          <t>https://www.timeshighereducation.com/world-university-rankings/2027/world-ranking
https://iqaa-ranking.kz/</t>
        </is>
      </c>
      <c r="P760" s="4" t="inlineStr">
        <is>
          <t>THE: в таблице как «Dulaty University»; Место внутри категории «Многопрофильные вузы» (не общий сквозной рейтинг) по данным iqaa-ranking.kz, 2026. В Генеральный ТОП-20 IAAR 2026 не вошёл.</t>
        </is>
      </c>
    </row>
    <row r="761">
      <c r="A761" s="3" t="inlineStr">
        <is>
          <t>Kazakhstan|Manash Kozybayev North Kazakhstan University (Kozybayev University)</t>
        </is>
      </c>
      <c r="B761" s="3" t="inlineStr">
        <is>
          <t>Kazakhstan</t>
        </is>
      </c>
      <c r="C761" s="3" t="inlineStr">
        <is>
          <t>Петропавловск</t>
        </is>
      </c>
      <c r="D761" s="3" t="inlineStr">
        <is>
          <t>Manash Kozybayev North Kazakhstan University (Kozybayev University)</t>
        </is>
      </c>
      <c r="E761" s="3" t="inlineStr">
        <is>
          <t>Манаш Қозыбаев атындағы Солтүстік Қазақстан университеті / Северо-Казахстанский университет имени Манаша Козыбаева</t>
        </is>
      </c>
      <c r="F761" s="3" t="inlineStr">
        <is>
          <t>https://ku.edu.kz</t>
        </is>
      </c>
      <c r="G761" s="3" t="inlineStr"/>
      <c r="H761" s="3" t="inlineStr">
        <is>
          <t>THE2027: Reporter (unranked)</t>
        </is>
      </c>
      <c r="I761" s="3" t="inlineStr"/>
      <c r="J761" s="4" t="inlineStr">
        <is>
          <t>не в рейтинге</t>
        </is>
      </c>
      <c r="K761" s="4" t="inlineStr">
        <is>
          <t>Reporter</t>
        </is>
      </c>
      <c r="L761" s="4" t="inlineStr">
        <is>
          <t>нет в опубл. списке (опубликован только топ-15 страны)</t>
        </is>
      </c>
      <c r="M761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61" s="4" t="inlineStr">
        <is>
          <t>не в рейтинге</t>
        </is>
      </c>
      <c r="O761" s="4" t="inlineStr">
        <is>
          <t>https://www.timeshighereducation.com/world-university-rankings/2027/world-ranking
https://iaar.agency/storage/photos/shares/Rating/2026/буклет рейтинг 2026 +++.pdf</t>
        </is>
      </c>
      <c r="P761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62">
      <c r="A762" s="3" t="inlineStr">
        <is>
          <t>Kazakhstan|Mukhametzhan Tynyshbayev ALT University</t>
        </is>
      </c>
      <c r="B762" s="3" t="inlineStr">
        <is>
          <t>Kazakhstan</t>
        </is>
      </c>
      <c r="C762" s="3" t="inlineStr">
        <is>
          <t>Алматы</t>
        </is>
      </c>
      <c r="D762" s="3" t="inlineStr">
        <is>
          <t>Mukhametzhan Tynyshbayev ALT University</t>
        </is>
      </c>
      <c r="E762" s="3" t="inlineStr">
        <is>
          <t>Мұхамеджан Тынышбаев атындағы ALT университеті / ALT Университет имени Мухамеджана Тынышпаева</t>
        </is>
      </c>
      <c r="F762" s="3" t="inlineStr">
        <is>
          <t>https://alt.edu.kz</t>
        </is>
      </c>
      <c r="G762" s="3" t="inlineStr"/>
      <c r="H762" s="3" t="inlineStr">
        <is>
          <t>THE2027: Reporter (unranked)</t>
        </is>
      </c>
      <c r="I762" s="3" t="inlineStr"/>
      <c r="J762" s="4" t="inlineStr">
        <is>
          <t>не в рейтинге</t>
        </is>
      </c>
      <c r="K762" s="4" t="inlineStr">
        <is>
          <t>Reporter</t>
        </is>
      </c>
      <c r="L762" s="4" t="inlineStr">
        <is>
          <t>нет в опубл. списке (опубликован только топ-15 страны)</t>
        </is>
      </c>
      <c r="M762" s="4" t="inlineStr">
        <is>
          <t>IAAR — Генеральный рейтинг «ТОП-20» вузов РК (Независимый рейтинг востребованности вузов), 2026</t>
        </is>
      </c>
      <c r="N762" s="4" t="inlineStr">
        <is>
          <t>13</t>
        </is>
      </c>
      <c r="O762" s="4" t="inlineStr">
        <is>
          <t>https://www.timeshighereducation.com/world-university-rankings/2027/world-ranking
https://iaar.agency/storage/photos/shares/Rating/2026/буклет рейтинг 2026 +++.pdf</t>
        </is>
      </c>
      <c r="P762" s="4" t="inlineStr">
        <is>
          <t>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отсутствует.</t>
        </is>
      </c>
    </row>
    <row r="763">
      <c r="A763" s="3" t="inlineStr">
        <is>
          <t>Kazakhstan|Narxoz University</t>
        </is>
      </c>
      <c r="B763" s="3" t="inlineStr">
        <is>
          <t>Kazakhstan</t>
        </is>
      </c>
      <c r="C763" s="3" t="inlineStr">
        <is>
          <t>Алматы</t>
        </is>
      </c>
      <c r="D763" s="3" t="inlineStr">
        <is>
          <t>Narxoz University</t>
        </is>
      </c>
      <c r="E763" s="3" t="inlineStr">
        <is>
          <t>Нархоз Университеті / Университет Нархоз</t>
        </is>
      </c>
      <c r="F763" s="3" t="inlineStr">
        <is>
          <t>https://narxoz.edu.kz</t>
        </is>
      </c>
      <c r="G763" s="3" t="inlineStr"/>
      <c r="H763" s="3" t="inlineStr">
        <is>
          <t>THE2027: Reporter (unranked)</t>
        </is>
      </c>
      <c r="I763" s="3" t="inlineStr"/>
      <c r="J763" s="4" t="inlineStr">
        <is>
          <t>1001–1200</t>
        </is>
      </c>
      <c r="K763" s="4" t="inlineStr">
        <is>
          <t>Reporter</t>
        </is>
      </c>
      <c r="L763" s="4" t="inlineStr">
        <is>
          <t>нет в опубл. списке (опубликован только топ-15 страны)</t>
        </is>
      </c>
      <c r="M763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63" s="4" t="inlineStr">
        <is>
          <t>не в рейтинге</t>
        </is>
      </c>
      <c r="O763" s="4" t="inlineStr">
        <is>
          <t>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P763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64">
      <c r="A764" s="3" t="inlineStr">
        <is>
          <t>Kazakhstan|Nazarbayev University</t>
        </is>
      </c>
      <c r="B764" s="3" t="inlineStr">
        <is>
          <t>Kazakhstan</t>
        </is>
      </c>
      <c r="C764" s="3" t="inlineStr">
        <is>
          <t>Астана</t>
        </is>
      </c>
      <c r="D764" s="3" t="inlineStr">
        <is>
          <t>Nazarbayev University</t>
        </is>
      </c>
      <c r="E764" s="3" t="inlineStr">
        <is>
          <t>Назарбаев Университеті / Назарбаев Университет</t>
        </is>
      </c>
      <c r="F764" s="3" t="inlineStr">
        <is>
          <t>https://nu.edu.kz</t>
        </is>
      </c>
      <c r="G764" s="3" t="inlineStr"/>
      <c r="H764" s="3" t="inlineStr">
        <is>
          <t>THE2027: 376–400</t>
        </is>
      </c>
      <c r="I764" s="3" t="inlineStr"/>
      <c r="J764" s="4" t="inlineStr">
        <is>
          <t>не в рейтинге</t>
        </is>
      </c>
      <c r="K764" s="4" t="inlineStr">
        <is>
          <t>376–400</t>
        </is>
      </c>
      <c r="L764" s="4" t="inlineStr">
        <is>
          <t>1186</t>
        </is>
      </c>
      <c r="M764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64" s="4" t="inlineStr">
        <is>
          <t>не в рейтинге</t>
        </is>
      </c>
      <c r="O764" s="4" t="inlineStr">
        <is>
          <t>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64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65">
      <c r="A765" s="3" t="inlineStr">
        <is>
          <t>Kazakhstan|Rudny Industrial University</t>
        </is>
      </c>
      <c r="B765" s="3" t="inlineStr">
        <is>
          <t>Kazakhstan</t>
        </is>
      </c>
      <c r="C765" s="3" t="inlineStr">
        <is>
          <t>Рудный</t>
        </is>
      </c>
      <c r="D765" s="3" t="inlineStr">
        <is>
          <t>Rudny Industrial University</t>
        </is>
      </c>
      <c r="E765" s="3" t="inlineStr">
        <is>
          <t>Рудный индустриялық университеті / Рудненский индустриальный университет</t>
        </is>
      </c>
      <c r="F765" s="3" t="inlineStr">
        <is>
          <t>https://rudny.edu.kz</t>
        </is>
      </c>
      <c r="G765" s="3" t="inlineStr"/>
      <c r="H765" s="3" t="inlineStr">
        <is>
          <t>THE2027: Reporter (unranked)</t>
        </is>
      </c>
      <c r="I765" s="3" t="inlineStr"/>
      <c r="J765" s="4" t="inlineStr">
        <is>
          <t>не в рейтинге</t>
        </is>
      </c>
      <c r="K765" s="4" t="inlineStr">
        <is>
          <t>Reporter</t>
        </is>
      </c>
      <c r="L765" s="4" t="inlineStr">
        <is>
          <t>нет в опубл. списке (опубликован только топ-15 страны)</t>
        </is>
      </c>
      <c r="M765" s="4" t="inlineStr">
        <is>
          <t>IQAA-Ranking — Национальный рейтинг ведущих вузов РК (по категориям), 2026</t>
        </is>
      </c>
      <c r="N765" s="4" t="inlineStr">
        <is>
          <t>8</t>
        </is>
      </c>
      <c r="O765" s="4" t="inlineStr">
        <is>
          <t>https://www.timeshighereducation.com/world-university-rankings/2027/world-ranking
https://iqaa-ranking.kz/</t>
        </is>
      </c>
      <c r="P765" s="4" t="inlineStr">
        <is>
          <t>Место внутри категории «Технические вузы» (не общий сквозной рейтинг) по данным iqaa-ranking.kz, 2026. В Генеральный ТОП-20 IAAR 2026 не вошёл.</t>
        </is>
      </c>
    </row>
    <row r="766">
      <c r="A766" s="3" t="inlineStr">
        <is>
          <t>Kazakhstan|SDU University (Suleyman Demirel University)</t>
        </is>
      </c>
      <c r="B766" s="3" t="inlineStr">
        <is>
          <t>Kazakhstan</t>
        </is>
      </c>
      <c r="C766" s="3" t="inlineStr">
        <is>
          <t>Каскелен (Алматинская область)</t>
        </is>
      </c>
      <c r="D766" s="3" t="inlineStr">
        <is>
          <t>SDU University (Suleyman Demirel University)</t>
        </is>
      </c>
      <c r="E766" s="3" t="inlineStr">
        <is>
          <t>SDU University / Университет SDU</t>
        </is>
      </c>
      <c r="F766" s="3" t="inlineStr">
        <is>
          <t>https://sdu.edu.kz</t>
        </is>
      </c>
      <c r="G766" s="3" t="inlineStr"/>
      <c r="H766" s="3" t="inlineStr">
        <is>
          <t>THE2027: Reporter (unranked)</t>
        </is>
      </c>
      <c r="I766" s="3" t="inlineStr"/>
      <c r="J766" s="4" t="inlineStr">
        <is>
          <t>не в рейтинге</t>
        </is>
      </c>
      <c r="K766" s="4" t="inlineStr">
        <is>
          <t>Reporter</t>
        </is>
      </c>
      <c r="L766" s="4" t="inlineStr">
        <is>
          <t>5199</t>
        </is>
      </c>
      <c r="M766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66" s="4" t="inlineStr">
        <is>
          <t>не в рейтинге</t>
        </is>
      </c>
      <c r="O766" s="4" t="inlineStr">
        <is>
          <t>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P766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67">
      <c r="A767" s="3" t="inlineStr">
        <is>
          <t>Kazakhstan|Satbayev University (Kazakh National Research Technical University named after K.I. Satbayev)</t>
        </is>
      </c>
      <c r="B767" s="3" t="inlineStr">
        <is>
          <t>Kazakhstan</t>
        </is>
      </c>
      <c r="C767" s="3" t="inlineStr">
        <is>
          <t>Алматы</t>
        </is>
      </c>
      <c r="D767" s="3" t="inlineStr">
        <is>
          <t>Satbayev University (Kazakh National Research Technical University named after K.I. Satbayev)</t>
        </is>
      </c>
      <c r="E767" s="3" t="inlineStr">
        <is>
          <t>Қ.И. Сәтбаев атындағы Қазақ ұлттық техникалық зерттеу университеті / Казахский национальный исследовательский технический университет имени К.И. Сатпаева</t>
        </is>
      </c>
      <c r="F767" s="3" t="inlineStr">
        <is>
          <t>https://satbayev.university</t>
        </is>
      </c>
      <c r="G767" s="3" t="inlineStr"/>
      <c r="H767" s="3" t="inlineStr">
        <is>
          <t>THE2027: 1401–1600</t>
        </is>
      </c>
      <c r="I767" s="3" t="inlineStr"/>
      <c r="J767" s="4">
        <f>351</f>
        <v/>
      </c>
      <c r="K767" s="4" t="inlineStr">
        <is>
          <t>1401–1600</t>
        </is>
      </c>
      <c r="L767" s="4" t="inlineStr">
        <is>
          <t>2530</t>
        </is>
      </c>
      <c r="M767" s="4" t="inlineStr">
        <is>
          <t>IQAA-Ranking — Национальный рейтинг ведущих вузов РК (по категориям), 2026</t>
        </is>
      </c>
      <c r="N767" s="4" t="inlineStr">
        <is>
          <t>1</t>
        </is>
      </c>
      <c r="O76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https://iqaa-ranking.kz/</t>
        </is>
      </c>
      <c r="P767" s="4" t="inlineStr">
        <is>
          <t>Место внутри категории «Технические вузы» (не общий сквозной рейтинг) по данным iqaa-ranking.kz, 2026. В Генеральный ТОП-20 IAAR 2026 не вошёл.</t>
        </is>
      </c>
    </row>
    <row r="768">
      <c r="A768" s="3" t="inlineStr">
        <is>
          <t>Kazakhstan|Sh. Ualikhanov Kokshetau University (Ualikhanov University)</t>
        </is>
      </c>
      <c r="B768" s="3" t="inlineStr">
        <is>
          <t>Kazakhstan</t>
        </is>
      </c>
      <c r="C768" s="3" t="inlineStr">
        <is>
          <t>Кокшетау</t>
        </is>
      </c>
      <c r="D768" s="3" t="inlineStr">
        <is>
          <t>Sh. Ualikhanov Kokshetau University (Ualikhanov University)</t>
        </is>
      </c>
      <c r="E768" s="3" t="inlineStr">
        <is>
          <t>Ш. Уәлиханов атындағы Көкшетау университеті / Кокшетауский университет имени Ш. Уалиханова</t>
        </is>
      </c>
      <c r="F768" s="3" t="inlineStr">
        <is>
          <t>https://shokan.edu.kz</t>
        </is>
      </c>
      <c r="G768" s="3" t="inlineStr"/>
      <c r="H768" s="3" t="inlineStr">
        <is>
          <t>THE2027: Reporter (unranked)</t>
        </is>
      </c>
      <c r="I768" s="3" t="inlineStr"/>
      <c r="J768" s="4" t="inlineStr">
        <is>
          <t>не в рейтинге</t>
        </is>
      </c>
      <c r="K768" s="4" t="inlineStr">
        <is>
          <t>Reporter</t>
        </is>
      </c>
      <c r="L768" s="4" t="inlineStr">
        <is>
          <t>нет в опубл. списке (опубликован только топ-15 страны)</t>
        </is>
      </c>
      <c r="M768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68" s="4" t="inlineStr">
        <is>
          <t>не в рейтинге</t>
        </is>
      </c>
      <c r="O768" s="4" t="inlineStr">
        <is>
          <t>https://www.timeshighereducation.com/world-university-rankings/2027/world-ranking
https://iaar.agency/storage/photos/shares/Rating/2026/буклет рейтинг 2026 +++.pdf</t>
        </is>
      </c>
      <c r="P768" s="4" t="inlineStr">
        <is>
          <t>THE: в таблице как «Ualikhanov University»; Нет ни в Генеральном ТОП-20 IAAR 2026, ни в IQAA-Ranking 2026 (обе таблицы просмотрены полностью; участие вузов добровольное).</t>
        </is>
      </c>
    </row>
    <row r="769">
      <c r="A769" s="3" t="inlineStr">
        <is>
          <t>Kazakhstan|Shakarim University of Semey</t>
        </is>
      </c>
      <c r="B769" s="3" t="inlineStr">
        <is>
          <t>Kazakhstan</t>
        </is>
      </c>
      <c r="C769" s="3" t="inlineStr">
        <is>
          <t>Семей</t>
        </is>
      </c>
      <c r="D769" s="3" t="inlineStr">
        <is>
          <t>Shakarim University of Semey</t>
        </is>
      </c>
      <c r="E769" s="3" t="inlineStr">
        <is>
          <t>Семей қаласының Шәкәрім атындағы университеті / Университет имени Шакарима города Семей</t>
        </is>
      </c>
      <c r="F769" s="3" t="inlineStr">
        <is>
          <t>https://shakarim.university</t>
        </is>
      </c>
      <c r="G769" s="3" t="inlineStr"/>
      <c r="H769" s="3" t="inlineStr">
        <is>
          <t>THE2027: Reporter (unranked)</t>
        </is>
      </c>
      <c r="I769" s="3" t="inlineStr"/>
      <c r="J769" s="4" t="inlineStr">
        <is>
          <t>не в рейтинге</t>
        </is>
      </c>
      <c r="K769" s="4" t="inlineStr">
        <is>
          <t>Reporter</t>
        </is>
      </c>
      <c r="L769" s="4" t="inlineStr">
        <is>
          <t>нет в опубл. списке (опубликован только топ-15 страны)</t>
        </is>
      </c>
      <c r="M769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69" s="4" t="inlineStr">
        <is>
          <t>не в рейтинге</t>
        </is>
      </c>
      <c r="O769" s="4" t="inlineStr">
        <is>
          <t>https://www.timeshighereducation.com/world-university-rankings/2027/world-ranking
https://iaar.agency/storage/photos/shares/Rating/2026/буклет рейтинг 2026 +++.pdf</t>
        </is>
      </c>
      <c r="P769" s="4" t="inlineStr">
        <is>
          <t>THE: в таблице как «Shakarim University»; Нет ни в Генеральном ТОП-20 IAAR 2026, ни в IQAA-Ranking 2026 (обе таблицы просмотрены полностью; участие вузов добровольное).</t>
        </is>
      </c>
    </row>
    <row r="770">
      <c r="A770" s="3" t="inlineStr">
        <is>
          <t>Kazakhstan|Toraighyrov University</t>
        </is>
      </c>
      <c r="B770" s="3" t="inlineStr">
        <is>
          <t>Kazakhstan</t>
        </is>
      </c>
      <c r="C770" s="3" t="inlineStr">
        <is>
          <t>Павлодар</t>
        </is>
      </c>
      <c r="D770" s="3" t="inlineStr">
        <is>
          <t>Toraighyrov University</t>
        </is>
      </c>
      <c r="E770" s="3" t="inlineStr">
        <is>
          <t>Торайғыров университеті / Торайгыров университет</t>
        </is>
      </c>
      <c r="F770" s="3" t="inlineStr">
        <is>
          <t>https://tou.edu.kz</t>
        </is>
      </c>
      <c r="G770" s="3" t="inlineStr"/>
      <c r="H770" s="3" t="inlineStr">
        <is>
          <t>THE2027: Reporter (unranked)</t>
        </is>
      </c>
      <c r="I770" s="3" t="inlineStr"/>
      <c r="J770" s="4" t="inlineStr">
        <is>
          <t>1401+</t>
        </is>
      </c>
      <c r="K770" s="4" t="inlineStr">
        <is>
          <t>Reporter</t>
        </is>
      </c>
      <c r="L770" s="4" t="inlineStr">
        <is>
          <t>нет в опубл. списке (опубликован только топ-15 страны)</t>
        </is>
      </c>
      <c r="M770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</t>
        </is>
      </c>
      <c r="N770" s="4" t="inlineStr">
        <is>
          <t>не в рейтинге</t>
        </is>
      </c>
      <c r="O770" s="4" t="inlineStr">
        <is>
          <t>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P770" s="4" t="inlineStr">
        <is>
          <t>Нет ни в Генеральном ТОП-20 IAAR 2026, ни в IQAA-Ranking 2026 (обе таблицы просмотрены полностью; участие вузов добровольное).</t>
        </is>
      </c>
    </row>
    <row r="771">
      <c r="A771" s="3" t="inlineStr">
        <is>
          <t>Kazakhstan|Turan University</t>
        </is>
      </c>
      <c r="B771" s="3" t="inlineStr">
        <is>
          <t>Kazakhstan</t>
        </is>
      </c>
      <c r="C771" s="3" t="inlineStr">
        <is>
          <t>Алматы</t>
        </is>
      </c>
      <c r="D771" s="3" t="inlineStr">
        <is>
          <t>Turan University</t>
        </is>
      </c>
      <c r="E771" s="3" t="inlineStr">
        <is>
          <t>«Тұран» университеті / Университет «Туран»</t>
        </is>
      </c>
      <c r="F771" s="3" t="inlineStr">
        <is>
          <t>https://turan.edu.kz</t>
        </is>
      </c>
      <c r="G771" s="3" t="inlineStr"/>
      <c r="H771" s="3" t="inlineStr">
        <is>
          <t>THE2027: Reporter (unranked)</t>
        </is>
      </c>
      <c r="I771" s="3" t="inlineStr"/>
      <c r="J771" s="4" t="inlineStr">
        <is>
          <t>не в рейтинге</t>
        </is>
      </c>
      <c r="K771" s="4" t="inlineStr">
        <is>
          <t>Reporter</t>
        </is>
      </c>
      <c r="L771" s="4" t="inlineStr">
        <is>
          <t>нет в опубл. списке (опубликован только топ-15 страны)</t>
        </is>
      </c>
      <c r="M771" s="4" t="inlineStr">
        <is>
          <t>IAAR — Генеральный рейтинг «ТОП-20» вузов РК (Независимый рейтинг востребованности вузов), 2026</t>
        </is>
      </c>
      <c r="N771" s="4" t="inlineStr">
        <is>
          <t>7</t>
        </is>
      </c>
      <c r="O771" s="4" t="inlineStr">
        <is>
          <t>https://www.timeshighereducation.com/world-university-rankings/2027/world-ranking
https://iaar.agency/storage/photos/shares/Rating/2026/буклет рейтинг 2026 +++.pdf</t>
        </is>
      </c>
      <c r="P771" s="4" t="inlineStr">
        <is>
          <t>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отсутствует.</t>
        </is>
      </c>
    </row>
    <row r="772">
      <c r="A772" s="3" t="inlineStr">
        <is>
          <t>Malaysia|Al-Madinah International University (MEDIU)</t>
        </is>
      </c>
      <c r="B772" s="3" t="inlineStr">
        <is>
          <t>Malaysia</t>
        </is>
      </c>
      <c r="C772" s="3" t="inlineStr">
        <is>
          <t>Куала-Лумпур</t>
        </is>
      </c>
      <c r="D772" s="3" t="inlineStr">
        <is>
          <t>Al-Madinah International University (MEDIU)</t>
        </is>
      </c>
      <c r="E772" s="3" t="inlineStr">
        <is>
          <t>Al-Madinah International University</t>
        </is>
      </c>
      <c r="F772" s="3" t="inlineStr">
        <is>
          <t>https://www.mediu.edu.my</t>
        </is>
      </c>
      <c r="G772" s="3" t="inlineStr"/>
      <c r="H772" s="3" t="inlineStr"/>
      <c r="I772" s="3" t="inlineStr"/>
      <c r="J772" s="4" t="inlineStr">
        <is>
          <t>не в рейтинге</t>
        </is>
      </c>
      <c r="K772" s="4" t="inlineStr">
        <is>
          <t>Reporter</t>
        </is>
      </c>
      <c r="L772" s="4" t="inlineStr">
        <is>
          <t>нет в опубл. списке (опубликован только топ-15 страны)</t>
        </is>
      </c>
      <c r="M772" s="4" t="inlineStr">
        <is>
          <t>нет общенационального рейтинга</t>
        </is>
      </c>
      <c r="N772" s="4" t="inlineStr">
        <is>
          <t>—</t>
        </is>
      </c>
      <c r="O772" s="4" t="inlineStr">
        <is>
          <t>https://www.timeshighereducation.com/world-university-rankings/2027/world-ranking</t>
        </is>
      </c>
      <c r="P772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73">
      <c r="A773" s="3" t="inlineStr">
        <is>
          <t>Malaysia|Asia Pacific University of Technology &amp; Innovation (APU)</t>
        </is>
      </c>
      <c r="B773" s="3" t="inlineStr">
        <is>
          <t>Malaysia</t>
        </is>
      </c>
      <c r="C773" s="3" t="inlineStr">
        <is>
          <t>Куала-Лумпур (Букит-Джалил)</t>
        </is>
      </c>
      <c r="D773" s="3" t="inlineStr">
        <is>
          <t>Asia Pacific University of Technology &amp; Innovation (APU)</t>
        </is>
      </c>
      <c r="E773" s="3" t="inlineStr">
        <is>
          <t>Asia Pacific University of Technology &amp; Innovation</t>
        </is>
      </c>
      <c r="F773" s="3" t="inlineStr">
        <is>
          <t>https://www.apu.edu.my</t>
        </is>
      </c>
      <c r="G773" s="3" t="inlineStr">
        <is>
          <t>QS2027: 528</t>
        </is>
      </c>
      <c r="H773" s="3" t="inlineStr">
        <is>
          <t>THE2027: 1001–1200</t>
        </is>
      </c>
      <c r="I773" s="3" t="inlineStr"/>
      <c r="J773" s="4">
        <f>528</f>
        <v/>
      </c>
      <c r="K773" s="4" t="inlineStr">
        <is>
          <t>1001–1200</t>
        </is>
      </c>
      <c r="L773" s="4" t="inlineStr">
        <is>
          <t>нет в опубл. списке (опубликован только топ-15 страны)</t>
        </is>
      </c>
      <c r="M773" s="4" t="inlineStr">
        <is>
          <t>нет общенационального рейтинга</t>
        </is>
      </c>
      <c r="N773" s="4" t="inlineStr">
        <is>
          <t>—</t>
        </is>
      </c>
      <c r="O773" s="4" t="inlineStr">
        <is>
          <t>https://www.topuniversities.com/world-university-rankings (QS WUR 2027)
https://www.timeshighereducation.com/world-university-rankings/2027/world-ranking</t>
        </is>
      </c>
      <c r="P773" s="4" t="inlineStr">
        <is>
          <t>QS: в таблице как «Asia Pacific University of Technology and Innovation (APU) Malaysia»; Национального рейтинга с местами нет: SETARA (MQA) — рейтинг по уровням (tiers/звёзды), не места; MyRA — также оценка по звёздам.</t>
        </is>
      </c>
    </row>
    <row r="774">
      <c r="A774" s="3" t="inlineStr">
        <is>
          <t>Malaysia|Curtin University Malaysia</t>
        </is>
      </c>
      <c r="B774" s="3" t="inlineStr">
        <is>
          <t>Malaysia</t>
        </is>
      </c>
      <c r="C774" s="3" t="inlineStr">
        <is>
          <t>Мири</t>
        </is>
      </c>
      <c r="D774" s="3" t="inlineStr">
        <is>
          <t>Curtin University Malaysia</t>
        </is>
      </c>
      <c r="E774" s="3" t="inlineStr">
        <is>
          <t>Curtin University Malaysia</t>
        </is>
      </c>
      <c r="F774" s="3" t="inlineStr">
        <is>
          <t>https://curtin.edu.my</t>
        </is>
      </c>
      <c r="G774" s="3" t="inlineStr"/>
      <c r="H774" s="3" t="inlineStr"/>
      <c r="I774" s="3" t="inlineStr"/>
      <c r="J774" s="4" t="inlineStr">
        <is>
          <t>не в рейтинге</t>
        </is>
      </c>
      <c r="K774" s="4" t="inlineStr">
        <is>
          <t>не в рейтинге</t>
        </is>
      </c>
      <c r="L774" s="4" t="inlineStr">
        <is>
          <t>нет в опубл. списке (опубликован только топ-15 страны)</t>
        </is>
      </c>
      <c r="M774" s="4" t="inlineStr">
        <is>
          <t>нет общенационального рейтинга</t>
        </is>
      </c>
      <c r="N774" s="4" t="inlineStr">
        <is>
          <t>—</t>
        </is>
      </c>
      <c r="O774" s="4" t="n"/>
      <c r="P774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75">
      <c r="A775" s="3" t="inlineStr">
        <is>
          <t>Malaysia|HELP University</t>
        </is>
      </c>
      <c r="B775" s="3" t="inlineStr">
        <is>
          <t>Malaysia</t>
        </is>
      </c>
      <c r="C775" s="3" t="inlineStr">
        <is>
          <t>Куала-Лумпур</t>
        </is>
      </c>
      <c r="D775" s="3" t="inlineStr">
        <is>
          <t>HELP University</t>
        </is>
      </c>
      <c r="E775" s="3" t="inlineStr">
        <is>
          <t>Universiti HELP</t>
        </is>
      </c>
      <c r="F775" s="3" t="inlineStr">
        <is>
          <t>https://university.help.edu.my</t>
        </is>
      </c>
      <c r="G775" s="3" t="inlineStr"/>
      <c r="H775" s="3" t="inlineStr"/>
      <c r="I775" s="3" t="inlineStr"/>
      <c r="J775" s="4" t="inlineStr">
        <is>
          <t>не в рейтинге</t>
        </is>
      </c>
      <c r="K775" s="4" t="inlineStr">
        <is>
          <t>не в рейтинге</t>
        </is>
      </c>
      <c r="L775" s="4" t="inlineStr">
        <is>
          <t>нет в опубл. списке (опубликован только топ-15 страны)</t>
        </is>
      </c>
      <c r="M775" s="4" t="inlineStr">
        <is>
          <t>нет общенационального рейтинга</t>
        </is>
      </c>
      <c r="N775" s="4" t="inlineStr">
        <is>
          <t>—</t>
        </is>
      </c>
      <c r="O775" s="4" t="n"/>
      <c r="P775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76">
      <c r="A776" s="3" t="inlineStr">
        <is>
          <t>Malaysia|Heriot-Watt University Malaysia (HWUM)</t>
        </is>
      </c>
      <c r="B776" s="3" t="inlineStr">
        <is>
          <t>Malaysia</t>
        </is>
      </c>
      <c r="C776" s="3" t="inlineStr">
        <is>
          <t>Путраджая</t>
        </is>
      </c>
      <c r="D776" s="3" t="inlineStr">
        <is>
          <t>Heriot-Watt University Malaysia (HWUM)</t>
        </is>
      </c>
      <c r="E776" s="3" t="inlineStr">
        <is>
          <t>Heriot-Watt University Malaysia</t>
        </is>
      </c>
      <c r="F776" s="3" t="inlineStr">
        <is>
          <t>https://www.hw.ac.uk/malaysia</t>
        </is>
      </c>
      <c r="G776" s="3" t="inlineStr"/>
      <c r="H776" s="3" t="inlineStr"/>
      <c r="I776" s="3" t="inlineStr"/>
      <c r="J776" s="4" t="inlineStr">
        <is>
          <t>не в рейтинге</t>
        </is>
      </c>
      <c r="K776" s="4" t="inlineStr">
        <is>
          <t>не в рейтинге</t>
        </is>
      </c>
      <c r="L776" s="4" t="inlineStr">
        <is>
          <t>нет в опубл. списке (опубликован только топ-15 страны)</t>
        </is>
      </c>
      <c r="M776" s="4" t="inlineStr">
        <is>
          <t>нет общенационального рейтинга</t>
        </is>
      </c>
      <c r="N776" s="4" t="inlineStr">
        <is>
          <t>—</t>
        </is>
      </c>
      <c r="O776" s="4" t="n"/>
      <c r="P776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77">
      <c r="A777" s="3" t="inlineStr">
        <is>
          <t>Malaysia|INTI International University (INTI IU)</t>
        </is>
      </c>
      <c r="B777" s="3" t="inlineStr">
        <is>
          <t>Malaysia</t>
        </is>
      </c>
      <c r="C777" s="3" t="inlineStr">
        <is>
          <t>Нилай</t>
        </is>
      </c>
      <c r="D777" s="3" t="inlineStr">
        <is>
          <t>INTI International University (INTI IU)</t>
        </is>
      </c>
      <c r="E777" s="3" t="inlineStr">
        <is>
          <t>INTI International University</t>
        </is>
      </c>
      <c r="F777" s="3" t="inlineStr">
        <is>
          <t>https://newinti.edu.my</t>
        </is>
      </c>
      <c r="G777" s="3" t="inlineStr">
        <is>
          <t>QS2027: 406</t>
        </is>
      </c>
      <c r="H777" s="3" t="inlineStr"/>
      <c r="I777" s="3" t="inlineStr"/>
      <c r="J777" s="4">
        <f>406</f>
        <v/>
      </c>
      <c r="K777" s="4" t="inlineStr">
        <is>
          <t>не в рейтинге</t>
        </is>
      </c>
      <c r="L777" s="4" t="inlineStr">
        <is>
          <t>нет в опубл. списке (опубликован только топ-15 страны)</t>
        </is>
      </c>
      <c r="M777" s="4" t="inlineStr">
        <is>
          <t>нет общенационального рейтинга</t>
        </is>
      </c>
      <c r="N777" s="4" t="inlineStr">
        <is>
          <t>—</t>
        </is>
      </c>
      <c r="O777" s="4" t="inlineStr">
        <is>
          <t>https://www.topuniversities.com/world-university-rankings (QS WUR 2027)</t>
        </is>
      </c>
      <c r="P777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78">
      <c r="A778" s="3" t="inlineStr">
        <is>
          <t>Malaysia|International Islamic University Malaysia (IIUM)</t>
        </is>
      </c>
      <c r="B778" s="3" t="inlineStr">
        <is>
          <t>Malaysia</t>
        </is>
      </c>
      <c r="C778" s="3" t="inlineStr">
        <is>
          <t>Гомбак (Куала-Лумпур)</t>
        </is>
      </c>
      <c r="D778" s="3" t="inlineStr">
        <is>
          <t>International Islamic University Malaysia (IIUM)</t>
        </is>
      </c>
      <c r="E778" s="3" t="inlineStr">
        <is>
          <t>Universiti Islam Antarabangsa Malaysia</t>
        </is>
      </c>
      <c r="F778" s="3" t="inlineStr">
        <is>
          <t>https://www.iium.edu.my</t>
        </is>
      </c>
      <c r="G778" s="3" t="inlineStr">
        <is>
          <t>QS2027: 691</t>
        </is>
      </c>
      <c r="H778" s="3" t="inlineStr">
        <is>
          <t>THE2027: 1201–1400</t>
        </is>
      </c>
      <c r="I778" s="3" t="inlineStr"/>
      <c r="J778" s="4">
        <f>691</f>
        <v/>
      </c>
      <c r="K778" s="4" t="inlineStr">
        <is>
          <t>1201–1400</t>
        </is>
      </c>
      <c r="L778" s="4" t="inlineStr">
        <is>
          <t>1170</t>
        </is>
      </c>
      <c r="M778" s="4" t="inlineStr">
        <is>
          <t>нет общенационального рейтинга</t>
        </is>
      </c>
      <c r="N778" s="4" t="inlineStr">
        <is>
          <t>—</t>
        </is>
      </c>
      <c r="O77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778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79">
      <c r="A779" s="3" t="inlineStr">
        <is>
          <t>Malaysia|Islamic Science University of Malaysia (USIM)</t>
        </is>
      </c>
      <c r="B779" s="3" t="inlineStr">
        <is>
          <t>Malaysia</t>
        </is>
      </c>
      <c r="C779" s="3" t="inlineStr">
        <is>
          <t>Нилай</t>
        </is>
      </c>
      <c r="D779" s="3" t="inlineStr">
        <is>
          <t>Islamic Science University of Malaysia (USIM)</t>
        </is>
      </c>
      <c r="E779" s="3" t="inlineStr">
        <is>
          <t>Universiti Sains Islam Malaysia</t>
        </is>
      </c>
      <c r="F779" s="3" t="inlineStr">
        <is>
          <t>https://www.usim.edu.my</t>
        </is>
      </c>
      <c r="G779" s="3" t="inlineStr"/>
      <c r="H779" s="3" t="inlineStr">
        <is>
          <t>THE2027: 1801–2000</t>
        </is>
      </c>
      <c r="I779" s="3" t="inlineStr"/>
      <c r="J779" s="4" t="inlineStr">
        <is>
          <t>не в рейтинге</t>
        </is>
      </c>
      <c r="K779" s="4" t="inlineStr">
        <is>
          <t>1801–2000</t>
        </is>
      </c>
      <c r="L779" s="4" t="inlineStr">
        <is>
          <t>нет в опубл. списке (опубликован только топ-15 страны)</t>
        </is>
      </c>
      <c r="M779" s="4" t="inlineStr">
        <is>
          <t>нет общенационального рейтинга</t>
        </is>
      </c>
      <c r="N779" s="4" t="inlineStr">
        <is>
          <t>—</t>
        </is>
      </c>
      <c r="O779" s="4" t="inlineStr">
        <is>
          <t>https://www.timeshighereducation.com/world-university-rankings/2027/world-ranking</t>
        </is>
      </c>
      <c r="P779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0">
      <c r="A780" s="3" t="inlineStr">
        <is>
          <t>Malaysia|Lincoln University College</t>
        </is>
      </c>
      <c r="B780" s="3" t="inlineStr">
        <is>
          <t>Malaysia</t>
        </is>
      </c>
      <c r="C780" s="3" t="inlineStr">
        <is>
          <t>Петалинг-Джая</t>
        </is>
      </c>
      <c r="D780" s="3" t="inlineStr">
        <is>
          <t>Lincoln University College</t>
        </is>
      </c>
      <c r="E780" s="3" t="inlineStr">
        <is>
          <t>Kolej Universiti Lincoln</t>
        </is>
      </c>
      <c r="F780" s="3" t="inlineStr">
        <is>
          <t>https://www.lincoln.edu.my</t>
        </is>
      </c>
      <c r="G780" s="3" t="inlineStr">
        <is>
          <t>QS2027: 701–710</t>
        </is>
      </c>
      <c r="H780" s="3" t="inlineStr">
        <is>
          <t>THE2027: 1601–1800</t>
        </is>
      </c>
      <c r="I780" s="3" t="inlineStr"/>
      <c r="J780" s="4" t="inlineStr">
        <is>
          <t>701–710</t>
        </is>
      </c>
      <c r="K780" s="4" t="inlineStr">
        <is>
          <t>1601–1800</t>
        </is>
      </c>
      <c r="L780" s="4" t="inlineStr">
        <is>
          <t>нет в опубл. списке (опубликован только топ-15 страны)</t>
        </is>
      </c>
      <c r="M780" s="4" t="inlineStr">
        <is>
          <t>нет общенационального рейтинга</t>
        </is>
      </c>
      <c r="N780" s="4" t="inlineStr">
        <is>
          <t>—</t>
        </is>
      </c>
      <c r="O780" s="4" t="inlineStr">
        <is>
          <t>https://www.topuniversities.com/world-university-rankings (QS WUR 2027)
https://www.timeshighereducation.com/world-university-rankings/2027/world-ranking</t>
        </is>
      </c>
      <c r="P780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1">
      <c r="A781" s="3" t="inlineStr">
        <is>
          <t>Malaysia|Malaysian Space Agency (MYSA)</t>
        </is>
      </c>
      <c r="B781" s="3" t="inlineStr">
        <is>
          <t>Malaysia</t>
        </is>
      </c>
      <c r="C781" s="3" t="inlineStr">
        <is>
          <t>Куала-Лумпур</t>
        </is>
      </c>
      <c r="D781" s="3" t="inlineStr">
        <is>
          <t>Malaysian Space Agency (MYSA)</t>
        </is>
      </c>
      <c r="E781" s="3" t="inlineStr">
        <is>
          <t>Agensi Angkasa Malaysia</t>
        </is>
      </c>
      <c r="F781" s="3" t="inlineStr">
        <is>
          <t>https://www.mysa.gov.my</t>
        </is>
      </c>
      <c r="G781" s="3" t="inlineStr"/>
      <c r="H781" s="3" t="inlineStr"/>
      <c r="I781" s="3" t="inlineStr"/>
      <c r="J781" s="4" t="inlineStr">
        <is>
          <t>не в рейтинге</t>
        </is>
      </c>
      <c r="K781" s="4" t="inlineStr">
        <is>
          <t>не в рейтинге</t>
        </is>
      </c>
      <c r="L781" s="4" t="inlineStr">
        <is>
          <t>нет в опубл. списке (опубликован только топ-15 страны)</t>
        </is>
      </c>
      <c r="M781" s="4" t="inlineStr">
        <is>
          <t>нет общенационального рейтинга</t>
        </is>
      </c>
      <c r="N781" s="4" t="inlineStr">
        <is>
          <t>—</t>
        </is>
      </c>
      <c r="O781" s="4" t="n"/>
      <c r="P781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2">
      <c r="A782" s="3" t="inlineStr">
        <is>
          <t>Malaysia|Management and Science University (MSU)</t>
        </is>
      </c>
      <c r="B782" s="3" t="inlineStr">
        <is>
          <t>Malaysia</t>
        </is>
      </c>
      <c r="C782" s="3" t="inlineStr">
        <is>
          <t>Шах-Алам</t>
        </is>
      </c>
      <c r="D782" s="3" t="inlineStr">
        <is>
          <t>Management and Science University (MSU)</t>
        </is>
      </c>
      <c r="E782" s="3" t="inlineStr">
        <is>
          <t>Management and Science University</t>
        </is>
      </c>
      <c r="F782" s="3" t="inlineStr">
        <is>
          <t>https://www.msu.edu.my</t>
        </is>
      </c>
      <c r="G782" s="3" t="inlineStr">
        <is>
          <t>QS2027: 608</t>
        </is>
      </c>
      <c r="H782" s="3" t="inlineStr">
        <is>
          <t>THE2027: 501–550</t>
        </is>
      </c>
      <c r="I782" s="3" t="inlineStr"/>
      <c r="J782" s="4">
        <f>608</f>
        <v/>
      </c>
      <c r="K782" s="4" t="inlineStr">
        <is>
          <t>501–550</t>
        </is>
      </c>
      <c r="L782" s="4" t="inlineStr">
        <is>
          <t>нет в опубл. списке (опубликован только топ-15 страны)</t>
        </is>
      </c>
      <c r="M782" s="4" t="inlineStr">
        <is>
          <t>нет общенационального рейтинга</t>
        </is>
      </c>
      <c r="N782" s="4" t="inlineStr">
        <is>
          <t>—</t>
        </is>
      </c>
      <c r="O782" s="4" t="inlineStr">
        <is>
          <t>https://www.topuniversities.com/world-university-rankings (QS WUR 2027)
https://www.timeshighereducation.com/world-university-rankings/2027/world-ranking</t>
        </is>
      </c>
      <c r="P782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3">
      <c r="A783" s="3" t="inlineStr">
        <is>
          <t>Malaysia|Multimedia University (MMU)</t>
        </is>
      </c>
      <c r="B783" s="3" t="inlineStr">
        <is>
          <t>Malaysia</t>
        </is>
      </c>
      <c r="C783" s="3" t="inlineStr">
        <is>
          <t>Киберджая</t>
        </is>
      </c>
      <c r="D783" s="3" t="inlineStr">
        <is>
          <t>Multimedia University (MMU)</t>
        </is>
      </c>
      <c r="E783" s="3" t="inlineStr">
        <is>
          <t>Universiti Multimedia</t>
        </is>
      </c>
      <c r="F783" s="3" t="inlineStr">
        <is>
          <t>https://www.mmu.edu.my</t>
        </is>
      </c>
      <c r="G783" s="3" t="inlineStr">
        <is>
          <t>QS2027: 771–780</t>
        </is>
      </c>
      <c r="H783" s="3" t="inlineStr">
        <is>
          <t>THE2027: 801–1000</t>
        </is>
      </c>
      <c r="I783" s="3" t="inlineStr"/>
      <c r="J783" s="4" t="inlineStr">
        <is>
          <t>771–780</t>
        </is>
      </c>
      <c r="K783" s="4" t="inlineStr">
        <is>
          <t>801–1000</t>
        </is>
      </c>
      <c r="L783" s="4" t="inlineStr">
        <is>
          <t>1558</t>
        </is>
      </c>
      <c r="M783" s="4" t="inlineStr">
        <is>
          <t>нет общенационального рейтинга</t>
        </is>
      </c>
      <c r="N783" s="4" t="inlineStr">
        <is>
          <t>—</t>
        </is>
      </c>
      <c r="O78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783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4">
      <c r="A784" s="3" t="inlineStr">
        <is>
          <t>Malaysia|National Defence University of Malaysia (UPNM)</t>
        </is>
      </c>
      <c r="B784" s="3" t="inlineStr">
        <is>
          <t>Malaysia</t>
        </is>
      </c>
      <c r="C784" s="3" t="inlineStr">
        <is>
          <t>Куала-Лумпур</t>
        </is>
      </c>
      <c r="D784" s="3" t="inlineStr">
        <is>
          <t>National Defence University of Malaysia (UPNM)</t>
        </is>
      </c>
      <c r="E784" s="3" t="inlineStr">
        <is>
          <t>Universiti Pertahanan Nasional Malaysia</t>
        </is>
      </c>
      <c r="F784" s="3" t="inlineStr">
        <is>
          <t>https://www.upnm.edu.my</t>
        </is>
      </c>
      <c r="G784" s="3" t="inlineStr"/>
      <c r="H784" s="3" t="inlineStr"/>
      <c r="I784" s="3" t="inlineStr"/>
      <c r="J784" s="4" t="inlineStr">
        <is>
          <t>не в рейтинге</t>
        </is>
      </c>
      <c r="K784" s="4" t="inlineStr">
        <is>
          <t>не в рейтинге</t>
        </is>
      </c>
      <c r="L784" s="4" t="inlineStr">
        <is>
          <t>нет в опубл. списке (опубликован только топ-15 страны)</t>
        </is>
      </c>
      <c r="M784" s="4" t="inlineStr">
        <is>
          <t>нет общенационального рейтинга</t>
        </is>
      </c>
      <c r="N784" s="4" t="inlineStr">
        <is>
          <t>—</t>
        </is>
      </c>
      <c r="O784" s="4" t="n"/>
      <c r="P784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5">
      <c r="A785" s="3" t="inlineStr">
        <is>
          <t>Malaysia|Perdana University</t>
        </is>
      </c>
      <c r="B785" s="3" t="inlineStr">
        <is>
          <t>Malaysia</t>
        </is>
      </c>
      <c r="C785" s="3" t="inlineStr">
        <is>
          <t>Куала-Лумпур</t>
        </is>
      </c>
      <c r="D785" s="3" t="inlineStr">
        <is>
          <t>Perdana University</t>
        </is>
      </c>
      <c r="E785" s="3" t="inlineStr">
        <is>
          <t>Perdana University</t>
        </is>
      </c>
      <c r="F785" s="3" t="inlineStr">
        <is>
          <t>https://perdanauniversity.edu.my</t>
        </is>
      </c>
      <c r="G785" s="3" t="inlineStr"/>
      <c r="H785" s="3" t="inlineStr"/>
      <c r="I785" s="3" t="inlineStr"/>
      <c r="J785" s="4" t="inlineStr">
        <is>
          <t>не в рейтинге</t>
        </is>
      </c>
      <c r="K785" s="4" t="inlineStr">
        <is>
          <t>Reporter</t>
        </is>
      </c>
      <c r="L785" s="4" t="inlineStr">
        <is>
          <t>нет в опубл. списке (опубликован только топ-15 страны)</t>
        </is>
      </c>
      <c r="M785" s="4" t="inlineStr">
        <is>
          <t>нет общенационального рейтинга</t>
        </is>
      </c>
      <c r="N785" s="4" t="inlineStr">
        <is>
          <t>—</t>
        </is>
      </c>
      <c r="O785" s="4" t="inlineStr">
        <is>
          <t>https://www.timeshighereducation.com/world-university-rankings/2027/world-ranking</t>
        </is>
      </c>
      <c r="P785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6">
      <c r="A786" s="3" t="inlineStr">
        <is>
          <t>Malaysia|Sultan Idris Education University (UPSI)</t>
        </is>
      </c>
      <c r="B786" s="3" t="inlineStr">
        <is>
          <t>Malaysia</t>
        </is>
      </c>
      <c r="C786" s="3" t="inlineStr">
        <is>
          <t>Танджунг-Малим (Перак)</t>
        </is>
      </c>
      <c r="D786" s="3" t="inlineStr">
        <is>
          <t>Sultan Idris Education University (UPSI)</t>
        </is>
      </c>
      <c r="E786" s="3" t="inlineStr">
        <is>
          <t>Universiti Pendidikan Sultan Idris</t>
        </is>
      </c>
      <c r="F786" s="3" t="inlineStr">
        <is>
          <t>https://www.upsi.edu.my</t>
        </is>
      </c>
      <c r="G786" s="3" t="inlineStr">
        <is>
          <t>QS2027: 851–900</t>
        </is>
      </c>
      <c r="H786" s="3" t="inlineStr">
        <is>
          <t>THE2027: 601–650</t>
        </is>
      </c>
      <c r="I786" s="3" t="inlineStr"/>
      <c r="J786" s="4" t="inlineStr">
        <is>
          <t>851–900</t>
        </is>
      </c>
      <c r="K786" s="4" t="inlineStr">
        <is>
          <t>601–650</t>
        </is>
      </c>
      <c r="L786" s="4" t="inlineStr">
        <is>
          <t>нет в опубл. списке (опубликован только топ-15 страны)</t>
        </is>
      </c>
      <c r="M786" s="4" t="inlineStr">
        <is>
          <t>нет общенационального рейтинга</t>
        </is>
      </c>
      <c r="N786" s="4" t="inlineStr">
        <is>
          <t>—</t>
        </is>
      </c>
      <c r="O786" s="4" t="inlineStr">
        <is>
          <t>https://www.topuniversities.com/world-university-rankings (QS WUR 2027)
https://www.timeshighereducation.com/world-university-rankings/2027/world-ranking</t>
        </is>
      </c>
      <c r="P786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7">
      <c r="A787" s="3" t="inlineStr">
        <is>
          <t>Malaysia|Sunway University</t>
        </is>
      </c>
      <c r="B787" s="3" t="inlineStr">
        <is>
          <t>Malaysia</t>
        </is>
      </c>
      <c r="C787" s="3" t="inlineStr">
        <is>
          <t>Бандар-Санвей (Селангор)</t>
        </is>
      </c>
      <c r="D787" s="3" t="inlineStr">
        <is>
          <t>Sunway University</t>
        </is>
      </c>
      <c r="E787" s="3" t="inlineStr">
        <is>
          <t>Universiti Sunway</t>
        </is>
      </c>
      <c r="F787" s="3" t="inlineStr">
        <is>
          <t>https://sunwayuniversity.edu.my</t>
        </is>
      </c>
      <c r="G787" s="3" t="inlineStr">
        <is>
          <t>QS2027: 354</t>
        </is>
      </c>
      <c r="H787" s="3" t="inlineStr">
        <is>
          <t>THE2027: 283</t>
        </is>
      </c>
      <c r="I787" s="3" t="inlineStr"/>
      <c r="J787" s="4">
        <f>354</f>
        <v/>
      </c>
      <c r="K787" s="4" t="inlineStr">
        <is>
          <t>283</t>
        </is>
      </c>
      <c r="L787" s="4" t="inlineStr">
        <is>
          <t>1346</t>
        </is>
      </c>
      <c r="M787" s="4" t="inlineStr">
        <is>
          <t>нет общенационального рейтинга</t>
        </is>
      </c>
      <c r="N787" s="4" t="inlineStr">
        <is>
          <t>—</t>
        </is>
      </c>
      <c r="O78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787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8">
      <c r="A788" s="3" t="inlineStr">
        <is>
          <t>Malaysia|Swinburne University of Technology Sarawak Campus</t>
        </is>
      </c>
      <c r="B788" s="3" t="inlineStr">
        <is>
          <t>Malaysia</t>
        </is>
      </c>
      <c r="C788" s="3" t="inlineStr">
        <is>
          <t>Кучинг</t>
        </is>
      </c>
      <c r="D788" s="3" t="inlineStr">
        <is>
          <t>Swinburne University of Technology Sarawak Campus</t>
        </is>
      </c>
      <c r="E788" s="3" t="inlineStr">
        <is>
          <t>Swinburne University of Technology Sarawak Campus</t>
        </is>
      </c>
      <c r="F788" s="3" t="inlineStr">
        <is>
          <t>https://www.swinburne.edu.my</t>
        </is>
      </c>
      <c r="G788" s="3" t="inlineStr"/>
      <c r="H788" s="3" t="inlineStr"/>
      <c r="I788" s="3" t="inlineStr"/>
      <c r="J788" s="4" t="inlineStr">
        <is>
          <t>не в рейтинге</t>
        </is>
      </c>
      <c r="K788" s="4" t="inlineStr">
        <is>
          <t>не в рейтинге</t>
        </is>
      </c>
      <c r="L788" s="4" t="inlineStr">
        <is>
          <t>нет в опубл. списке (опубликован только топ-15 страны)</t>
        </is>
      </c>
      <c r="M788" s="4" t="inlineStr">
        <is>
          <t>нет общенационального рейтинга</t>
        </is>
      </c>
      <c r="N788" s="4" t="inlineStr">
        <is>
          <t>—</t>
        </is>
      </c>
      <c r="O788" s="4" t="n"/>
      <c r="P788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89">
      <c r="A789" s="3" t="inlineStr">
        <is>
          <t>Malaysia|Taylor's University</t>
        </is>
      </c>
      <c r="B789" s="3" t="inlineStr">
        <is>
          <t>Malaysia</t>
        </is>
      </c>
      <c r="C789" s="3" t="inlineStr">
        <is>
          <t>Субанг-Джая</t>
        </is>
      </c>
      <c r="D789" s="3" t="inlineStr">
        <is>
          <t>Taylor's University</t>
        </is>
      </c>
      <c r="E789" s="3" t="inlineStr">
        <is>
          <t>Taylor's University (Universiti Taylor's)</t>
        </is>
      </c>
      <c r="F789" s="3" t="inlineStr">
        <is>
          <t>https://university.taylors.edu.my</t>
        </is>
      </c>
      <c r="G789" s="3" t="inlineStr">
        <is>
          <t>QS2027: 272</t>
        </is>
      </c>
      <c r="H789" s="3" t="inlineStr"/>
      <c r="I789" s="3" t="inlineStr"/>
      <c r="J789" s="4" t="inlineStr">
        <is>
          <t>272</t>
        </is>
      </c>
      <c r="K789" s="4" t="inlineStr">
        <is>
          <t>не в рейтинге</t>
        </is>
      </c>
      <c r="L789" s="4" t="inlineStr">
        <is>
          <t>нет в опубл. списке (опубликован только топ-15 страны)</t>
        </is>
      </c>
      <c r="M789" s="4" t="inlineStr">
        <is>
          <t>нет общенационального рейтинга</t>
        </is>
      </c>
      <c r="N789" s="4" t="inlineStr">
        <is>
          <t>—</t>
        </is>
      </c>
      <c r="O789" s="4" t="inlineStr">
        <is>
          <t>https://www.topuniversities.com/world-university-rankings (QS WUR 2027)</t>
        </is>
      </c>
      <c r="P789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0">
      <c r="A790" s="3" t="inlineStr">
        <is>
          <t>Malaysia|The National University of Malaysia (Universiti Kebangsaan Malaysia, UKM)</t>
        </is>
      </c>
      <c r="B790" s="3" t="inlineStr">
        <is>
          <t>Malaysia</t>
        </is>
      </c>
      <c r="C790" s="3" t="inlineStr">
        <is>
          <t>Банги</t>
        </is>
      </c>
      <c r="D790" s="3" t="inlineStr">
        <is>
          <t>The National University of Malaysia (Universiti Kebangsaan Malaysia, UKM)</t>
        </is>
      </c>
      <c r="E790" s="3" t="inlineStr">
        <is>
          <t>Universiti Kebangsaan Malaysia</t>
        </is>
      </c>
      <c r="F790" s="3" t="inlineStr">
        <is>
          <t>https://www.ukm.my</t>
        </is>
      </c>
      <c r="G790" s="3" t="inlineStr">
        <is>
          <t>QS2027: 130</t>
        </is>
      </c>
      <c r="H790" s="3" t="inlineStr">
        <is>
          <t>THE2027: 301–325</t>
        </is>
      </c>
      <c r="I790" s="3" t="inlineStr"/>
      <c r="J790" s="4" t="inlineStr">
        <is>
          <t>130</t>
        </is>
      </c>
      <c r="K790" s="4" t="inlineStr">
        <is>
          <t>301–325</t>
        </is>
      </c>
      <c r="L790" s="4" t="inlineStr">
        <is>
          <t>448</t>
        </is>
      </c>
      <c r="M790" s="4" t="inlineStr">
        <is>
          <t>нет общенационального рейтинга</t>
        </is>
      </c>
      <c r="N790" s="4" t="inlineStr">
        <is>
          <t>—</t>
        </is>
      </c>
      <c r="O79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790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1">
      <c r="A791" s="3" t="inlineStr">
        <is>
          <t>Malaysia|Universiti Geomatika Malaysia (UGM)</t>
        </is>
      </c>
      <c r="B791" s="3" t="inlineStr">
        <is>
          <t>Malaysia</t>
        </is>
      </c>
      <c r="C791" s="3" t="inlineStr">
        <is>
          <t>Куала-Лумпур</t>
        </is>
      </c>
      <c r="D791" s="3" t="inlineStr">
        <is>
          <t>Universiti Geomatika Malaysia (UGM)</t>
        </is>
      </c>
      <c r="E791" s="3" t="inlineStr">
        <is>
          <t>Universiti Geomatika Malaysia</t>
        </is>
      </c>
      <c r="F791" s="3" t="inlineStr">
        <is>
          <t>https://www.geomatika.edu.my</t>
        </is>
      </c>
      <c r="G791" s="3" t="inlineStr"/>
      <c r="H791" s="3" t="inlineStr"/>
      <c r="I791" s="3" t="inlineStr"/>
      <c r="J791" s="4" t="inlineStr">
        <is>
          <t>не в рейтинге</t>
        </is>
      </c>
      <c r="K791" s="4" t="inlineStr">
        <is>
          <t>Reporter</t>
        </is>
      </c>
      <c r="L791" s="4" t="inlineStr">
        <is>
          <t>нет в опубл. списке (опубликован только топ-15 страны)</t>
        </is>
      </c>
      <c r="M791" s="4" t="inlineStr">
        <is>
          <t>нет общенационального рейтинга</t>
        </is>
      </c>
      <c r="N791" s="4" t="inlineStr">
        <is>
          <t>—</t>
        </is>
      </c>
      <c r="O791" s="4" t="inlineStr">
        <is>
          <t>https://www.timeshighereducation.com/world-university-rankings/2027/world-ranking</t>
        </is>
      </c>
      <c r="P791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2">
      <c r="A792" s="3" t="inlineStr">
        <is>
          <t>Malaysia|Universiti Kuala Lumpur (UniKL)</t>
        </is>
      </c>
      <c r="B792" s="3" t="inlineStr">
        <is>
          <t>Malaysia</t>
        </is>
      </c>
      <c r="C792" s="3" t="inlineStr">
        <is>
          <t>Куала-Лумпур</t>
        </is>
      </c>
      <c r="D792" s="3" t="inlineStr">
        <is>
          <t>Universiti Kuala Lumpur (UniKL)</t>
        </is>
      </c>
      <c r="E792" s="3" t="inlineStr">
        <is>
          <t>Universiti Kuala Lumpur</t>
        </is>
      </c>
      <c r="F792" s="3" t="inlineStr">
        <is>
          <t>https://www.unikl.edu.my</t>
        </is>
      </c>
      <c r="G792" s="3" t="inlineStr">
        <is>
          <t>QS2027: 1401+</t>
        </is>
      </c>
      <c r="H792" s="3" t="inlineStr">
        <is>
          <t>THE2027: 1801–2000</t>
        </is>
      </c>
      <c r="I792" s="3" t="inlineStr"/>
      <c r="J792" s="4" t="inlineStr">
        <is>
          <t>1401+</t>
        </is>
      </c>
      <c r="K792" s="4" t="inlineStr">
        <is>
          <t>1801–2000</t>
        </is>
      </c>
      <c r="L792" s="4" t="inlineStr">
        <is>
          <t>нет в опубл. списке (опубликован только топ-15 страны)</t>
        </is>
      </c>
      <c r="M792" s="4" t="inlineStr">
        <is>
          <t>нет общенационального рейтинга</t>
        </is>
      </c>
      <c r="N792" s="4" t="inlineStr">
        <is>
          <t>—</t>
        </is>
      </c>
      <c r="O792" s="4" t="inlineStr">
        <is>
          <t>https://www.topuniversities.com/world-university-rankings (QS WUR 2027)
https://www.timeshighereducation.com/world-university-rankings/2027/world-ranking</t>
        </is>
      </c>
      <c r="P792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3">
      <c r="A793" s="3" t="inlineStr">
        <is>
          <t>Malaysia|Universiti Malaya (UM)</t>
        </is>
      </c>
      <c r="B793" s="3" t="inlineStr">
        <is>
          <t>Malaysia</t>
        </is>
      </c>
      <c r="C793" s="3" t="inlineStr">
        <is>
          <t>Куала-Лумпур</t>
        </is>
      </c>
      <c r="D793" s="3" t="inlineStr">
        <is>
          <t>Universiti Malaya (UM)</t>
        </is>
      </c>
      <c r="E793" s="3" t="inlineStr">
        <is>
          <t>Universiti Malaya</t>
        </is>
      </c>
      <c r="F793" s="3" t="inlineStr">
        <is>
          <t>https://www.um.edu.my</t>
        </is>
      </c>
      <c r="G793" s="3" t="inlineStr">
        <is>
          <t>QS2027: 56</t>
        </is>
      </c>
      <c r="H793" s="3" t="inlineStr">
        <is>
          <t>THE2027: =194</t>
        </is>
      </c>
      <c r="I793" s="3" t="inlineStr"/>
      <c r="J793" s="4" t="inlineStr">
        <is>
          <t>56</t>
        </is>
      </c>
      <c r="K793" s="4">
        <f>194</f>
        <v/>
      </c>
      <c r="L793" s="4" t="inlineStr">
        <is>
          <t>341</t>
        </is>
      </c>
      <c r="M793" s="4" t="inlineStr">
        <is>
          <t>нет общенационального рейтинга</t>
        </is>
      </c>
      <c r="N793" s="4" t="inlineStr">
        <is>
          <t>—</t>
        </is>
      </c>
      <c r="O79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793" s="4" t="inlineStr">
        <is>
          <t>THE: в таблице как «University of Malaya»; Национального рейтинга с местами нет: SETARA (MQA) — рейтинг по уровням (tiers/звёзды), не места; MyRA — также оценка по звёздам.</t>
        </is>
      </c>
    </row>
    <row r="794">
      <c r="A794" s="3" t="inlineStr">
        <is>
          <t>Malaysia|Universiti Malaysia Kelantan (UMK)</t>
        </is>
      </c>
      <c r="B794" s="3" t="inlineStr">
        <is>
          <t>Malaysia</t>
        </is>
      </c>
      <c r="C794" s="3" t="inlineStr">
        <is>
          <t>Кота-Бару</t>
        </is>
      </c>
      <c r="D794" s="3" t="inlineStr">
        <is>
          <t>Universiti Malaysia Kelantan (UMK)</t>
        </is>
      </c>
      <c r="E794" s="3" t="inlineStr">
        <is>
          <t>Universiti Malaysia Kelantan</t>
        </is>
      </c>
      <c r="F794" s="3" t="inlineStr">
        <is>
          <t>https://www.umk.edu.my</t>
        </is>
      </c>
      <c r="G794" s="3" t="inlineStr">
        <is>
          <t>QS2027: 1401+</t>
        </is>
      </c>
      <c r="H794" s="3" t="inlineStr">
        <is>
          <t>THE2027: 1601–1800</t>
        </is>
      </c>
      <c r="I794" s="3" t="inlineStr"/>
      <c r="J794" s="4" t="inlineStr">
        <is>
          <t>1401+</t>
        </is>
      </c>
      <c r="K794" s="4" t="inlineStr">
        <is>
          <t>1601–1800</t>
        </is>
      </c>
      <c r="L794" s="4" t="inlineStr">
        <is>
          <t>нет в опубл. списке (опубликован только топ-15 страны)</t>
        </is>
      </c>
      <c r="M794" s="4" t="inlineStr">
        <is>
          <t>нет общенационального рейтинга</t>
        </is>
      </c>
      <c r="N794" s="4" t="inlineStr">
        <is>
          <t>—</t>
        </is>
      </c>
      <c r="O794" s="4" t="inlineStr">
        <is>
          <t>https://www.topuniversities.com/world-university-rankings (QS WUR 2027)
https://www.timeshighereducation.com/world-university-rankings/2027/world-ranking</t>
        </is>
      </c>
      <c r="P794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5">
      <c r="A795" s="3" t="inlineStr">
        <is>
          <t>Malaysia|Universiti Malaysia Pahang Al-Sultan Abdullah (UMPSA)</t>
        </is>
      </c>
      <c r="B795" s="3" t="inlineStr">
        <is>
          <t>Malaysia</t>
        </is>
      </c>
      <c r="C795" s="3" t="inlineStr">
        <is>
          <t>Пекан (Паханг)</t>
        </is>
      </c>
      <c r="D795" s="3" t="inlineStr">
        <is>
          <t>Universiti Malaysia Pahang Al-Sultan Abdullah (UMPSA)</t>
        </is>
      </c>
      <c r="E795" s="3" t="inlineStr">
        <is>
          <t>Universiti Malaysia Pahang Al-Sultan Abdullah</t>
        </is>
      </c>
      <c r="F795" s="3" t="inlineStr">
        <is>
          <t>https://umpsa.edu.my</t>
        </is>
      </c>
      <c r="G795" s="3" t="inlineStr">
        <is>
          <t>QS2027: 588</t>
        </is>
      </c>
      <c r="H795" s="3" t="inlineStr">
        <is>
          <t>THE2027: 601–650</t>
        </is>
      </c>
      <c r="I795" s="3" t="inlineStr"/>
      <c r="J795" s="4">
        <f>588</f>
        <v/>
      </c>
      <c r="K795" s="4" t="inlineStr">
        <is>
          <t>601–650</t>
        </is>
      </c>
      <c r="L795" s="4" t="inlineStr">
        <is>
          <t>нет в опубл. списке (опубликован только топ-15 страны)</t>
        </is>
      </c>
      <c r="M795" s="4" t="inlineStr">
        <is>
          <t>нет общенационального рейтинга</t>
        </is>
      </c>
      <c r="N795" s="4" t="inlineStr">
        <is>
          <t>—</t>
        </is>
      </c>
      <c r="O795" s="4" t="inlineStr">
        <is>
          <t>https://www.topuniversities.com/world-university-rankings (QS WUR 2027)
https://www.timeshighereducation.com/world-university-rankings/2027/world-ranking</t>
        </is>
      </c>
      <c r="P795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6">
      <c r="A796" s="3" t="inlineStr">
        <is>
          <t>Malaysia|Universiti Malaysia Perlis (UniMAP)</t>
        </is>
      </c>
      <c r="B796" s="3" t="inlineStr">
        <is>
          <t>Malaysia</t>
        </is>
      </c>
      <c r="C796" s="3" t="inlineStr">
        <is>
          <t>Арау</t>
        </is>
      </c>
      <c r="D796" s="3" t="inlineStr">
        <is>
          <t>Universiti Malaysia Perlis (UniMAP)</t>
        </is>
      </c>
      <c r="E796" s="3" t="inlineStr">
        <is>
          <t>Universiti Malaysia Perlis</t>
        </is>
      </c>
      <c r="F796" s="3" t="inlineStr">
        <is>
          <t>https://www.unimap.edu.my</t>
        </is>
      </c>
      <c r="G796" s="3" t="inlineStr">
        <is>
          <t>QS2027: 1001–1200</t>
        </is>
      </c>
      <c r="H796" s="3" t="inlineStr">
        <is>
          <t>THE2027: 1601–1800</t>
        </is>
      </c>
      <c r="I796" s="3" t="inlineStr"/>
      <c r="J796" s="4" t="inlineStr">
        <is>
          <t>1001–1200</t>
        </is>
      </c>
      <c r="K796" s="4" t="inlineStr">
        <is>
          <t>1601–1800</t>
        </is>
      </c>
      <c r="L796" s="4" t="inlineStr">
        <is>
          <t>1573</t>
        </is>
      </c>
      <c r="M796" s="4" t="inlineStr">
        <is>
          <t>нет общенационального рейтинга</t>
        </is>
      </c>
      <c r="N796" s="4" t="inlineStr">
        <is>
          <t>—</t>
        </is>
      </c>
      <c r="O79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796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7">
      <c r="A797" s="3" t="inlineStr">
        <is>
          <t>Malaysia|Universiti Malaysia Sabah (UMS)</t>
        </is>
      </c>
      <c r="B797" s="3" t="inlineStr">
        <is>
          <t>Malaysia</t>
        </is>
      </c>
      <c r="C797" s="3" t="inlineStr">
        <is>
          <t>Кота-Кинабалу</t>
        </is>
      </c>
      <c r="D797" s="3" t="inlineStr">
        <is>
          <t>Universiti Malaysia Sabah (UMS)</t>
        </is>
      </c>
      <c r="E797" s="3" t="inlineStr">
        <is>
          <t>Universiti Malaysia Sabah</t>
        </is>
      </c>
      <c r="F797" s="3" t="inlineStr">
        <is>
          <t>https://www.ums.edu.my</t>
        </is>
      </c>
      <c r="G797" s="3" t="inlineStr">
        <is>
          <t>QS2027: 1001–1200</t>
        </is>
      </c>
      <c r="H797" s="3" t="inlineStr">
        <is>
          <t>THE2027: 1601–1800</t>
        </is>
      </c>
      <c r="I797" s="3" t="inlineStr"/>
      <c r="J797" s="4" t="inlineStr">
        <is>
          <t>1001–1200</t>
        </is>
      </c>
      <c r="K797" s="4" t="inlineStr">
        <is>
          <t>1601–1800</t>
        </is>
      </c>
      <c r="L797" s="4" t="inlineStr">
        <is>
          <t>нет в опубл. списке (опубликован только топ-15 страны)</t>
        </is>
      </c>
      <c r="M797" s="4" t="inlineStr">
        <is>
          <t>нет общенационального рейтинга</t>
        </is>
      </c>
      <c r="N797" s="4" t="inlineStr">
        <is>
          <t>—</t>
        </is>
      </c>
      <c r="O797" s="4" t="inlineStr">
        <is>
          <t>https://www.topuniversities.com/world-university-rankings (QS WUR 2027)
https://www.timeshighereducation.com/world-university-rankings/2027/world-ranking</t>
        </is>
      </c>
      <c r="P797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8">
      <c r="A798" s="3" t="inlineStr">
        <is>
          <t>Malaysia|Universiti Malaysia Sarawak (UNIMAS)</t>
        </is>
      </c>
      <c r="B798" s="3" t="inlineStr">
        <is>
          <t>Malaysia</t>
        </is>
      </c>
      <c r="C798" s="3" t="inlineStr">
        <is>
          <t>Кота-Самарахан (Саравак)</t>
        </is>
      </c>
      <c r="D798" s="3" t="inlineStr">
        <is>
          <t>Universiti Malaysia Sarawak (UNIMAS)</t>
        </is>
      </c>
      <c r="E798" s="3" t="inlineStr">
        <is>
          <t>Universiti Malaysia Sarawak</t>
        </is>
      </c>
      <c r="F798" s="3" t="inlineStr">
        <is>
          <t>https://www.unimas.my</t>
        </is>
      </c>
      <c r="G798" s="3" t="inlineStr">
        <is>
          <t>QS2027: 1001–1200</t>
        </is>
      </c>
      <c r="H798" s="3" t="inlineStr">
        <is>
          <t>THE2027: 1001–1200</t>
        </is>
      </c>
      <c r="I798" s="3" t="inlineStr"/>
      <c r="J798" s="4" t="inlineStr">
        <is>
          <t>1001–1200</t>
        </is>
      </c>
      <c r="K798" s="4" t="inlineStr">
        <is>
          <t>1001–1200</t>
        </is>
      </c>
      <c r="L798" s="4" t="inlineStr">
        <is>
          <t>нет в опубл. списке (опубликован только топ-15 страны)</t>
        </is>
      </c>
      <c r="M798" s="4" t="inlineStr">
        <is>
          <t>нет общенационального рейтинга</t>
        </is>
      </c>
      <c r="N798" s="4" t="inlineStr">
        <is>
          <t>—</t>
        </is>
      </c>
      <c r="O798" s="4" t="inlineStr">
        <is>
          <t>https://www.topuniversities.com/world-university-rankings (QS WUR 2027)
https://www.timeshighereducation.com/world-university-rankings/2027/world-ranking</t>
        </is>
      </c>
      <c r="P798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799">
      <c r="A799" s="3" t="inlineStr">
        <is>
          <t>Malaysia|Universiti Malaysia Terengganu (UMT)</t>
        </is>
      </c>
      <c r="B799" s="3" t="inlineStr">
        <is>
          <t>Malaysia</t>
        </is>
      </c>
      <c r="C799" s="3" t="inlineStr">
        <is>
          <t>Куала-Нерус (Тренгану)</t>
        </is>
      </c>
      <c r="D799" s="3" t="inlineStr">
        <is>
          <t>Universiti Malaysia Terengganu (UMT)</t>
        </is>
      </c>
      <c r="E799" s="3" t="inlineStr">
        <is>
          <t>Universiti Malaysia Terengganu</t>
        </is>
      </c>
      <c r="F799" s="3" t="inlineStr">
        <is>
          <t>https://www.umt.edu.my</t>
        </is>
      </c>
      <c r="G799" s="3" t="inlineStr">
        <is>
          <t>QS2027: 701–710</t>
        </is>
      </c>
      <c r="H799" s="3" t="inlineStr">
        <is>
          <t>THE2027: 801–1000</t>
        </is>
      </c>
      <c r="I799" s="3" t="inlineStr"/>
      <c r="J799" s="4" t="inlineStr">
        <is>
          <t>701–710</t>
        </is>
      </c>
      <c r="K799" s="4" t="inlineStr">
        <is>
          <t>801–1000</t>
        </is>
      </c>
      <c r="L799" s="4" t="inlineStr">
        <is>
          <t>1342</t>
        </is>
      </c>
      <c r="M799" s="4" t="inlineStr">
        <is>
          <t>нет общенационального рейтинга</t>
        </is>
      </c>
      <c r="N799" s="4" t="inlineStr">
        <is>
          <t>—</t>
        </is>
      </c>
      <c r="O79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799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0">
      <c r="A800" s="3" t="inlineStr">
        <is>
          <t>Malaysia|Universiti Poly-Tech Malaysia (UPTM)</t>
        </is>
      </c>
      <c r="B800" s="3" t="inlineStr">
        <is>
          <t>Malaysia</t>
        </is>
      </c>
      <c r="C800" s="3" t="inlineStr">
        <is>
          <t>Куала-Лумпур</t>
        </is>
      </c>
      <c r="D800" s="3" t="inlineStr">
        <is>
          <t>Universiti Poly-Tech Malaysia (UPTM)</t>
        </is>
      </c>
      <c r="E800" s="3" t="inlineStr">
        <is>
          <t>Universiti Poly-Tech Malaysia</t>
        </is>
      </c>
      <c r="F800" s="3" t="inlineStr">
        <is>
          <t>https://www.uptm.edu.my</t>
        </is>
      </c>
      <c r="G800" s="3" t="inlineStr"/>
      <c r="H800" s="3" t="inlineStr"/>
      <c r="I800" s="3" t="inlineStr"/>
      <c r="J800" s="4" t="inlineStr">
        <is>
          <t>не в рейтинге</t>
        </is>
      </c>
      <c r="K800" s="4" t="inlineStr">
        <is>
          <t>Reporter</t>
        </is>
      </c>
      <c r="L800" s="4" t="inlineStr">
        <is>
          <t>нет в опубл. списке (опубликован только топ-15 страны)</t>
        </is>
      </c>
      <c r="M800" s="4" t="inlineStr">
        <is>
          <t>нет общенационального рейтинга</t>
        </is>
      </c>
      <c r="N800" s="4" t="inlineStr">
        <is>
          <t>—</t>
        </is>
      </c>
      <c r="O800" s="4" t="inlineStr">
        <is>
          <t>https://www.timeshighereducation.com/world-university-rankings/2027/world-ranking</t>
        </is>
      </c>
      <c r="P800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1">
      <c r="A801" s="3" t="inlineStr">
        <is>
          <t>Malaysia|Universiti Putra Malaysia (UPM)</t>
        </is>
      </c>
      <c r="B801" s="3" t="inlineStr">
        <is>
          <t>Malaysia</t>
        </is>
      </c>
      <c r="C801" s="3" t="inlineStr">
        <is>
          <t>Серданг</t>
        </is>
      </c>
      <c r="D801" s="3" t="inlineStr">
        <is>
          <t>Universiti Putra Malaysia (UPM)</t>
        </is>
      </c>
      <c r="E801" s="3" t="inlineStr">
        <is>
          <t>Universiti Putra Malaysia</t>
        </is>
      </c>
      <c r="F801" s="3" t="inlineStr">
        <is>
          <t>https://upm.edu.my</t>
        </is>
      </c>
      <c r="G801" s="3" t="inlineStr">
        <is>
          <t>QS2027: 138</t>
        </is>
      </c>
      <c r="H801" s="3" t="inlineStr">
        <is>
          <t>THE2027: 451–500</t>
        </is>
      </c>
      <c r="I801" s="3" t="inlineStr"/>
      <c r="J801" s="4" t="inlineStr">
        <is>
          <t>138</t>
        </is>
      </c>
      <c r="K801" s="4" t="inlineStr">
        <is>
          <t>451–500</t>
        </is>
      </c>
      <c r="L801" s="4" t="inlineStr">
        <is>
          <t>469</t>
        </is>
      </c>
      <c r="M801" s="4" t="inlineStr">
        <is>
          <t>нет общенационального рейтинга</t>
        </is>
      </c>
      <c r="N801" s="4" t="inlineStr">
        <is>
          <t>—</t>
        </is>
      </c>
      <c r="O80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801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2">
      <c r="A802" s="3" t="inlineStr">
        <is>
          <t>Malaysia|Universiti Sains Malaysia (USM)</t>
        </is>
      </c>
      <c r="B802" s="3" t="inlineStr">
        <is>
          <t>Malaysia</t>
        </is>
      </c>
      <c r="C802" s="3" t="inlineStr">
        <is>
          <t>Пенанг (Гелугор)</t>
        </is>
      </c>
      <c r="D802" s="3" t="inlineStr">
        <is>
          <t>Universiti Sains Malaysia (USM)</t>
        </is>
      </c>
      <c r="E802" s="3" t="inlineStr">
        <is>
          <t>Universiti Sains Malaysia</t>
        </is>
      </c>
      <c r="F802" s="3" t="inlineStr">
        <is>
          <t>https://www.usm.my</t>
        </is>
      </c>
      <c r="G802" s="3" t="inlineStr">
        <is>
          <t>QS2027: 128</t>
        </is>
      </c>
      <c r="H802" s="3" t="inlineStr">
        <is>
          <t>THE2027: 326–350</t>
        </is>
      </c>
      <c r="I802" s="3" t="inlineStr"/>
      <c r="J802" s="4">
        <f>128</f>
        <v/>
      </c>
      <c r="K802" s="4" t="inlineStr">
        <is>
          <t>326–350</t>
        </is>
      </c>
      <c r="L802" s="4" t="inlineStr">
        <is>
          <t>414</t>
        </is>
      </c>
      <c r="M802" s="4" t="inlineStr">
        <is>
          <t>нет общенационального рейтинга</t>
        </is>
      </c>
      <c r="N802" s="4" t="inlineStr">
        <is>
          <t>—</t>
        </is>
      </c>
      <c r="O80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802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3">
      <c r="A803" s="3" t="inlineStr">
        <is>
          <t>Malaysia|Universiti Sultan Zainal Abidin (UniSZA)</t>
        </is>
      </c>
      <c r="B803" s="3" t="inlineStr">
        <is>
          <t>Malaysia</t>
        </is>
      </c>
      <c r="C803" s="3" t="inlineStr">
        <is>
          <t>Куала-Нерус (Тренгану)</t>
        </is>
      </c>
      <c r="D803" s="3" t="inlineStr">
        <is>
          <t>Universiti Sultan Zainal Abidin (UniSZA)</t>
        </is>
      </c>
      <c r="E803" s="3" t="inlineStr">
        <is>
          <t>Universiti Sultan Zainal Abidin</t>
        </is>
      </c>
      <c r="F803" s="3" t="inlineStr">
        <is>
          <t>https://www.unisza.edu.my</t>
        </is>
      </c>
      <c r="G803" s="3" t="inlineStr"/>
      <c r="H803" s="3" t="inlineStr">
        <is>
          <t>THE2027: 801–1000</t>
        </is>
      </c>
      <c r="I803" s="3" t="inlineStr"/>
      <c r="J803" s="4" t="inlineStr">
        <is>
          <t>не в рейтинге</t>
        </is>
      </c>
      <c r="K803" s="4" t="inlineStr">
        <is>
          <t>801–1000</t>
        </is>
      </c>
      <c r="L803" s="4" t="inlineStr">
        <is>
          <t>нет в опубл. списке (опубликован только топ-15 страны)</t>
        </is>
      </c>
      <c r="M803" s="4" t="inlineStr">
        <is>
          <t>нет общенационального рейтинга</t>
        </is>
      </c>
      <c r="N803" s="4" t="inlineStr">
        <is>
          <t>—</t>
        </is>
      </c>
      <c r="O803" s="4" t="inlineStr">
        <is>
          <t>https://www.timeshighereducation.com/world-university-rankings/2027/world-ranking</t>
        </is>
      </c>
      <c r="P803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4">
      <c r="A804" s="3" t="inlineStr">
        <is>
          <t>Malaysia|Universiti Teknikal Malaysia Melaka (UTeM)</t>
        </is>
      </c>
      <c r="B804" s="3" t="inlineStr">
        <is>
          <t>Malaysia</t>
        </is>
      </c>
      <c r="C804" s="3" t="inlineStr">
        <is>
          <t>Дурьян-Тунггал (Малакка)</t>
        </is>
      </c>
      <c r="D804" s="3" t="inlineStr">
        <is>
          <t>Universiti Teknikal Malaysia Melaka (UTeM)</t>
        </is>
      </c>
      <c r="E804" s="3" t="inlineStr">
        <is>
          <t>Universiti Teknikal Malaysia Melaka</t>
        </is>
      </c>
      <c r="F804" s="3" t="inlineStr">
        <is>
          <t>https://www.utem.edu.my</t>
        </is>
      </c>
      <c r="G804" s="3" t="inlineStr">
        <is>
          <t>QS2027: 1201–1400</t>
        </is>
      </c>
      <c r="H804" s="3" t="inlineStr">
        <is>
          <t>THE2027: 1401–1600</t>
        </is>
      </c>
      <c r="I804" s="3" t="inlineStr"/>
      <c r="J804" s="4" t="inlineStr">
        <is>
          <t>1201–1400</t>
        </is>
      </c>
      <c r="K804" s="4" t="inlineStr">
        <is>
          <t>1401–1600</t>
        </is>
      </c>
      <c r="L804" s="4" t="inlineStr">
        <is>
          <t>нет в опубл. списке (опубликован только топ-15 страны)</t>
        </is>
      </c>
      <c r="M804" s="4" t="inlineStr">
        <is>
          <t>нет общенационального рейтинга</t>
        </is>
      </c>
      <c r="N804" s="4" t="inlineStr">
        <is>
          <t>—</t>
        </is>
      </c>
      <c r="O804" s="4" t="inlineStr">
        <is>
          <t>https://www.topuniversities.com/world-university-rankings (QS WUR 2027)
https://www.timeshighereducation.com/world-university-rankings/2027/world-ranking</t>
        </is>
      </c>
      <c r="P804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5">
      <c r="A805" s="3" t="inlineStr">
        <is>
          <t>Malaysia|Universiti Teknologi MARA (UiTM)</t>
        </is>
      </c>
      <c r="B805" s="3" t="inlineStr">
        <is>
          <t>Malaysia</t>
        </is>
      </c>
      <c r="C805" s="3" t="inlineStr">
        <is>
          <t>Шах-Алам</t>
        </is>
      </c>
      <c r="D805" s="3" t="inlineStr">
        <is>
          <t>Universiti Teknologi MARA (UiTM)</t>
        </is>
      </c>
      <c r="E805" s="3" t="inlineStr">
        <is>
          <t>Universiti Teknologi MARA</t>
        </is>
      </c>
      <c r="F805" s="3" t="inlineStr">
        <is>
          <t>https://www.uitm.edu.my</t>
        </is>
      </c>
      <c r="G805" s="3" t="inlineStr">
        <is>
          <t>QS2027: 549</t>
        </is>
      </c>
      <c r="H805" s="3" t="inlineStr">
        <is>
          <t>THE2027: 1401–1600</t>
        </is>
      </c>
      <c r="I805" s="3" t="inlineStr"/>
      <c r="J805" s="4">
        <f>549</f>
        <v/>
      </c>
      <c r="K805" s="4" t="inlineStr">
        <is>
          <t>1401–1600</t>
        </is>
      </c>
      <c r="L805" s="4" t="inlineStr">
        <is>
          <t>797</t>
        </is>
      </c>
      <c r="M805" s="4" t="inlineStr">
        <is>
          <t>нет общенационального рейтинга</t>
        </is>
      </c>
      <c r="N805" s="4" t="inlineStr">
        <is>
          <t>—</t>
        </is>
      </c>
      <c r="O80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805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6">
      <c r="A806" s="3" t="inlineStr">
        <is>
          <t>Malaysia|Universiti Teknologi Malaysia (UTM)</t>
        </is>
      </c>
      <c r="B806" s="3" t="inlineStr">
        <is>
          <t>Malaysia</t>
        </is>
      </c>
      <c r="C806" s="3" t="inlineStr">
        <is>
          <t>Джохор-Бару (Скудай)</t>
        </is>
      </c>
      <c r="D806" s="3" t="inlineStr">
        <is>
          <t>Universiti Teknologi Malaysia (UTM)</t>
        </is>
      </c>
      <c r="E806" s="3" t="inlineStr">
        <is>
          <t>Universiti Teknologi Malaysia</t>
        </is>
      </c>
      <c r="F806" s="3" t="inlineStr">
        <is>
          <t>https://www.utm.my</t>
        </is>
      </c>
      <c r="G806" s="3" t="inlineStr">
        <is>
          <t>QS2027: 158</t>
        </is>
      </c>
      <c r="H806" s="3" t="inlineStr">
        <is>
          <t>THE2027: 401–450</t>
        </is>
      </c>
      <c r="I806" s="3" t="inlineStr"/>
      <c r="J806" s="4">
        <f>158</f>
        <v/>
      </c>
      <c r="K806" s="4" t="inlineStr">
        <is>
          <t>401–450</t>
        </is>
      </c>
      <c r="L806" s="4" t="inlineStr">
        <is>
          <t>462</t>
        </is>
      </c>
      <c r="M806" s="4" t="inlineStr">
        <is>
          <t>нет общенационального рейтинга</t>
        </is>
      </c>
      <c r="N806" s="4" t="inlineStr">
        <is>
          <t>—</t>
        </is>
      </c>
      <c r="O80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806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7">
      <c r="A807" s="3" t="inlineStr">
        <is>
          <t>Malaysia|Universiti Teknologi PETRONAS (UTP)</t>
        </is>
      </c>
      <c r="B807" s="3" t="inlineStr">
        <is>
          <t>Malaysia</t>
        </is>
      </c>
      <c r="C807" s="3" t="inlineStr">
        <is>
          <t>Сери-Искандар (Перак)</t>
        </is>
      </c>
      <c r="D807" s="3" t="inlineStr">
        <is>
          <t>Universiti Teknologi PETRONAS (UTP)</t>
        </is>
      </c>
      <c r="E807" s="3" t="inlineStr">
        <is>
          <t>Universiti Teknologi PETRONAS</t>
        </is>
      </c>
      <c r="F807" s="3" t="inlineStr">
        <is>
          <t>https://www.utp.edu.my</t>
        </is>
      </c>
      <c r="G807" s="3" t="inlineStr">
        <is>
          <t>QS2027: 261</t>
        </is>
      </c>
      <c r="H807" s="3" t="inlineStr">
        <is>
          <t>THE2027: =242</t>
        </is>
      </c>
      <c r="I807" s="3" t="inlineStr"/>
      <c r="J807" s="4">
        <f>261</f>
        <v/>
      </c>
      <c r="K807" s="4">
        <f>242</f>
        <v/>
      </c>
      <c r="L807" s="4" t="inlineStr">
        <is>
          <t>1155</t>
        </is>
      </c>
      <c r="M807" s="4" t="inlineStr">
        <is>
          <t>нет общенационального рейтинга</t>
        </is>
      </c>
      <c r="N807" s="4" t="inlineStr">
        <is>
          <t>—</t>
        </is>
      </c>
      <c r="O80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807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8">
      <c r="A808" s="3" t="inlineStr">
        <is>
          <t>Malaysia|Universiti Tenaga Nasional (UNITEN)</t>
        </is>
      </c>
      <c r="B808" s="3" t="inlineStr">
        <is>
          <t>Malaysia</t>
        </is>
      </c>
      <c r="C808" s="3" t="inlineStr">
        <is>
          <t>Каджанг (кампус Путраджая)</t>
        </is>
      </c>
      <c r="D808" s="3" t="inlineStr">
        <is>
          <t>Universiti Tenaga Nasional (UNITEN)</t>
        </is>
      </c>
      <c r="E808" s="3" t="inlineStr">
        <is>
          <t>Universiti Tenaga Nasional</t>
        </is>
      </c>
      <c r="F808" s="3" t="inlineStr">
        <is>
          <t>https://www.uniten.edu.my</t>
        </is>
      </c>
      <c r="G808" s="3" t="inlineStr">
        <is>
          <t>QS2027: 518</t>
        </is>
      </c>
      <c r="H808" s="3" t="inlineStr">
        <is>
          <t>THE2027: 551–600</t>
        </is>
      </c>
      <c r="I808" s="3" t="inlineStr"/>
      <c r="J808" s="4">
        <f>518</f>
        <v/>
      </c>
      <c r="K808" s="4" t="inlineStr">
        <is>
          <t>551–600</t>
        </is>
      </c>
      <c r="L808" s="4" t="inlineStr">
        <is>
          <t>нет в опубл. списке (опубликован только топ-15 страны)</t>
        </is>
      </c>
      <c r="M808" s="4" t="inlineStr">
        <is>
          <t>нет общенационального рейтинга</t>
        </is>
      </c>
      <c r="N808" s="4" t="inlineStr">
        <is>
          <t>—</t>
        </is>
      </c>
      <c r="O808" s="4" t="inlineStr">
        <is>
          <t>https://www.topuniversities.com/world-university-rankings (QS WUR 2027)
https://www.timeshighereducation.com/world-university-rankings/2027/world-ranking</t>
        </is>
      </c>
      <c r="P808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09">
      <c r="A809" s="3" t="inlineStr">
        <is>
          <t>Malaysia|Universiti Tun Hussein Onn Malaysia (UTHM)</t>
        </is>
      </c>
      <c r="B809" s="3" t="inlineStr">
        <is>
          <t>Malaysia</t>
        </is>
      </c>
      <c r="C809" s="3" t="inlineStr">
        <is>
          <t>Бату-Пахат (Джохор)</t>
        </is>
      </c>
      <c r="D809" s="3" t="inlineStr">
        <is>
          <t>Universiti Tun Hussein Onn Malaysia (UTHM)</t>
        </is>
      </c>
      <c r="E809" s="3" t="inlineStr">
        <is>
          <t>Universiti Tun Hussein Onn Malaysia</t>
        </is>
      </c>
      <c r="F809" s="3" t="inlineStr">
        <is>
          <t>https://www.uthm.edu.my</t>
        </is>
      </c>
      <c r="G809" s="3" t="inlineStr">
        <is>
          <t>QS2027: 1001–1200</t>
        </is>
      </c>
      <c r="H809" s="3" t="inlineStr">
        <is>
          <t>THE2027: 1201–1400</t>
        </is>
      </c>
      <c r="I809" s="3" t="inlineStr"/>
      <c r="J809" s="4" t="inlineStr">
        <is>
          <t>1001–1200</t>
        </is>
      </c>
      <c r="K809" s="4" t="inlineStr">
        <is>
          <t>1201–1400</t>
        </is>
      </c>
      <c r="L809" s="4" t="inlineStr">
        <is>
          <t>1460</t>
        </is>
      </c>
      <c r="M809" s="4" t="inlineStr">
        <is>
          <t>нет общенационального рейтинга</t>
        </is>
      </c>
      <c r="N809" s="4" t="inlineStr">
        <is>
          <t>—</t>
        </is>
      </c>
      <c r="O80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809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10">
      <c r="A810" s="3" t="inlineStr">
        <is>
          <t>Malaysia|Universiti Tunku Abdul Rahman (UTAR)</t>
        </is>
      </c>
      <c r="B810" s="3" t="inlineStr">
        <is>
          <t>Malaysia</t>
        </is>
      </c>
      <c r="C810" s="3" t="inlineStr"/>
      <c r="D810" s="3" t="inlineStr">
        <is>
          <t>Universiti Tunku Abdul Rahman (UTAR)</t>
        </is>
      </c>
      <c r="E810" s="3" t="inlineStr">
        <is>
          <t>Universiti Tunku Abdul Rahman</t>
        </is>
      </c>
      <c r="F810" s="3" t="inlineStr">
        <is>
          <t>https://www.utar.edu.my</t>
        </is>
      </c>
      <c r="G810" s="3" t="inlineStr">
        <is>
          <t>QS2027: 801–850</t>
        </is>
      </c>
      <c r="H810" s="3" t="inlineStr">
        <is>
          <t>THE2027: 801–1000</t>
        </is>
      </c>
      <c r="I810" s="3" t="inlineStr"/>
      <c r="J810" s="4" t="inlineStr">
        <is>
          <t>801–850</t>
        </is>
      </c>
      <c r="K810" s="4" t="inlineStr">
        <is>
          <t>801–1000</t>
        </is>
      </c>
      <c r="L810" s="4" t="inlineStr">
        <is>
          <t>нет в опубл. списке (опубликован только топ-15 страны)</t>
        </is>
      </c>
      <c r="M810" s="4" t="inlineStr">
        <is>
          <t>нет общенационального рейтинга</t>
        </is>
      </c>
      <c r="N810" s="4" t="inlineStr">
        <is>
          <t>—</t>
        </is>
      </c>
      <c r="O810" s="4" t="inlineStr">
        <is>
          <t>https://www.topuniversities.com/world-university-rankings (QS WUR 2027)
https://www.timeshighereducation.com/world-university-rankings/2027/world-ranking</t>
        </is>
      </c>
      <c r="P810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11">
      <c r="A811" s="3" t="inlineStr">
        <is>
          <t>Malaysia|Universiti Utara Malaysia (UUM)</t>
        </is>
      </c>
      <c r="B811" s="3" t="inlineStr">
        <is>
          <t>Malaysia</t>
        </is>
      </c>
      <c r="C811" s="3" t="inlineStr">
        <is>
          <t>Синток (Кедах)</t>
        </is>
      </c>
      <c r="D811" s="3" t="inlineStr">
        <is>
          <t>Universiti Utara Malaysia (UUM)</t>
        </is>
      </c>
      <c r="E811" s="3" t="inlineStr">
        <is>
          <t>Universiti Utara Malaysia</t>
        </is>
      </c>
      <c r="F811" s="3" t="inlineStr">
        <is>
          <t>https://www.uum.edu.my</t>
        </is>
      </c>
      <c r="G811" s="3" t="inlineStr">
        <is>
          <t>QS2027: 540</t>
        </is>
      </c>
      <c r="H811" s="3" t="inlineStr">
        <is>
          <t>THE2027: 451–500</t>
        </is>
      </c>
      <c r="I811" s="3" t="inlineStr"/>
      <c r="J811" s="4">
        <f>540</f>
        <v/>
      </c>
      <c r="K811" s="4" t="inlineStr">
        <is>
          <t>451–500</t>
        </is>
      </c>
      <c r="L811" s="4" t="inlineStr">
        <is>
          <t>1387</t>
        </is>
      </c>
      <c r="M811" s="4" t="inlineStr">
        <is>
          <t>нет общенационального рейтинга</t>
        </is>
      </c>
      <c r="N811" s="4" t="inlineStr">
        <is>
          <t>—</t>
        </is>
      </c>
      <c r="O81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811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12">
      <c r="A812" s="3" t="inlineStr">
        <is>
          <t>Malaysia|University of Cyberjaya (UoC)</t>
        </is>
      </c>
      <c r="B812" s="3" t="inlineStr">
        <is>
          <t>Malaysia</t>
        </is>
      </c>
      <c r="C812" s="3" t="inlineStr">
        <is>
          <t>Сайберджая</t>
        </is>
      </c>
      <c r="D812" s="3" t="inlineStr">
        <is>
          <t>University of Cyberjaya (UoC)</t>
        </is>
      </c>
      <c r="E812" s="3" t="inlineStr">
        <is>
          <t>University of Cyberjaya</t>
        </is>
      </c>
      <c r="F812" s="3" t="inlineStr">
        <is>
          <t>https://cyberjaya.edu.my</t>
        </is>
      </c>
      <c r="G812" s="3" t="inlineStr">
        <is>
          <t>QS2027: 951–1000</t>
        </is>
      </c>
      <c r="H812" s="3" t="inlineStr"/>
      <c r="I812" s="3" t="inlineStr"/>
      <c r="J812" s="4" t="inlineStr">
        <is>
          <t>951–1000</t>
        </is>
      </c>
      <c r="K812" s="4" t="inlineStr">
        <is>
          <t>Reporter</t>
        </is>
      </c>
      <c r="L812" s="4" t="inlineStr">
        <is>
          <t>нет в опубл. списке (опубликован только топ-15 страны)</t>
        </is>
      </c>
      <c r="M812" s="4" t="inlineStr">
        <is>
          <t>нет общенационального рейтинга</t>
        </is>
      </c>
      <c r="N812" s="4" t="inlineStr">
        <is>
          <t>—</t>
        </is>
      </c>
      <c r="O812" s="4" t="inlineStr">
        <is>
          <t>https://www.topuniversities.com/world-university-rankings (QS WUR 2027)
https://www.timeshighereducation.com/world-university-rankings/2027/world-ranking</t>
        </is>
      </c>
      <c r="P812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13">
      <c r="A813" s="3" t="inlineStr">
        <is>
          <t>Malaysia|University of Nottingham Malaysia (UNM)</t>
        </is>
      </c>
      <c r="B813" s="3" t="inlineStr">
        <is>
          <t>Malaysia</t>
        </is>
      </c>
      <c r="C813" s="3" t="inlineStr">
        <is>
          <t>Семенйих</t>
        </is>
      </c>
      <c r="D813" s="3" t="inlineStr">
        <is>
          <t>University of Nottingham Malaysia (UNM)</t>
        </is>
      </c>
      <c r="E813" s="3" t="inlineStr">
        <is>
          <t>University of Nottingham Malaysia</t>
        </is>
      </c>
      <c r="F813" s="3" t="inlineStr">
        <is>
          <t>https://www.nottingham.edu.my</t>
        </is>
      </c>
      <c r="G813" s="3" t="inlineStr"/>
      <c r="H813" s="3" t="inlineStr"/>
      <c r="I813" s="3" t="inlineStr"/>
      <c r="J813" s="4" t="inlineStr">
        <is>
          <t>не в рейтинге</t>
        </is>
      </c>
      <c r="K813" s="4" t="inlineStr">
        <is>
          <t>не в рейтинге</t>
        </is>
      </c>
      <c r="L813" s="4" t="inlineStr">
        <is>
          <t>нет в опубл. списке (опубликован только топ-15 страны)</t>
        </is>
      </c>
      <c r="M813" s="4" t="inlineStr">
        <is>
          <t>нет общенационального рейтинга</t>
        </is>
      </c>
      <c r="N813" s="4" t="inlineStr">
        <is>
          <t>—</t>
        </is>
      </c>
      <c r="O813" s="4" t="n"/>
      <c r="P813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14">
      <c r="A814" s="3" t="inlineStr">
        <is>
          <t>Malaysia|Xiamen University Malaysia (XMUM)</t>
        </is>
      </c>
      <c r="B814" s="3" t="inlineStr">
        <is>
          <t>Malaysia</t>
        </is>
      </c>
      <c r="C814" s="3" t="inlineStr">
        <is>
          <t>Сепанг</t>
        </is>
      </c>
      <c r="D814" s="3" t="inlineStr">
        <is>
          <t>Xiamen University Malaysia (XMUM)</t>
        </is>
      </c>
      <c r="E814" s="3" t="inlineStr">
        <is>
          <t>厦门大学马来西亚分校 (Universiti Xiamen Malaysia)</t>
        </is>
      </c>
      <c r="F814" s="3" t="inlineStr">
        <is>
          <t>https://www.xmu.edu.my</t>
        </is>
      </c>
      <c r="G814" s="3" t="inlineStr"/>
      <c r="H814" s="3" t="inlineStr"/>
      <c r="I814" s="3" t="inlineStr"/>
      <c r="J814" s="4" t="inlineStr">
        <is>
          <t>не в рейтинге</t>
        </is>
      </c>
      <c r="K814" s="4" t="inlineStr">
        <is>
          <t>не в рейтинге</t>
        </is>
      </c>
      <c r="L814" s="4" t="inlineStr">
        <is>
          <t>нет в опубл. списке (опубликован только топ-15 страны)</t>
        </is>
      </c>
      <c r="M814" s="4" t="inlineStr">
        <is>
          <t>нет общенационального рейтинга</t>
        </is>
      </c>
      <c r="N814" s="4" t="inlineStr">
        <is>
          <t>—</t>
        </is>
      </c>
      <c r="O814" s="4" t="n"/>
      <c r="P814" s="4" t="inlineStr">
        <is>
          <t>Национального рейтинга с местами нет: SETARA (MQA) — рейтинг по уровням (tiers/звёзды), не места; MyRA — также оценка по звёздам.</t>
        </is>
      </c>
    </row>
    <row r="815">
      <c r="A815" s="3" t="inlineStr">
        <is>
          <t>Nigeria|Abubakar Tafawa Balewa University</t>
        </is>
      </c>
      <c r="B815" s="3" t="inlineStr">
        <is>
          <t>Nigeria</t>
        </is>
      </c>
      <c r="C815" s="3" t="inlineStr">
        <is>
          <t>Баучи</t>
        </is>
      </c>
      <c r="D815" s="3" t="inlineStr">
        <is>
          <t>Abubakar Tafawa Balewa University</t>
        </is>
      </c>
      <c r="E815" s="3" t="inlineStr">
        <is>
          <t>Abubakar Tafawa Balewa University, Bauchi (ATBU)</t>
        </is>
      </c>
      <c r="F815" s="3" t="inlineStr">
        <is>
          <t>https://atbu.edu.ng</t>
        </is>
      </c>
      <c r="G815" s="3" t="inlineStr"/>
      <c r="H815" s="3" t="inlineStr">
        <is>
          <t>THE2027: THE2027 Reporter (unranked)</t>
        </is>
      </c>
      <c r="I815" s="3" t="inlineStr"/>
      <c r="J815" s="4" t="inlineStr">
        <is>
          <t>не в рейтинге</t>
        </is>
      </c>
      <c r="K815" s="4" t="inlineStr">
        <is>
          <t>Reporter</t>
        </is>
      </c>
      <c r="L815" s="4" t="inlineStr">
        <is>
          <t>нет в опубл. списке (опубликован только топ-15 страны)</t>
        </is>
      </c>
      <c r="M815" s="4" t="inlineStr">
        <is>
          <t>нет общенационального рейтинга</t>
        </is>
      </c>
      <c r="N815" s="4" t="inlineStr">
        <is>
          <t>—</t>
        </is>
      </c>
      <c r="O815" s="4" t="inlineStr">
        <is>
          <t>https://www.timeshighereducation.com/world-university-rankings/2027/world-ranking
https://www.nuc.edu.ng/es-inaugurates-nuc-advisory-committee-on-varsities-ranking/</t>
        </is>
      </c>
      <c r="P815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16">
      <c r="A816" s="3" t="inlineStr">
        <is>
          <t>Nigeria|Adamawa State University, Mubi</t>
        </is>
      </c>
      <c r="B816" s="3" t="inlineStr">
        <is>
          <t>Nigeria</t>
        </is>
      </c>
      <c r="C816" s="3" t="inlineStr">
        <is>
          <t>Муби</t>
        </is>
      </c>
      <c r="D816" s="3" t="inlineStr">
        <is>
          <t>Adamawa State University, Mubi</t>
        </is>
      </c>
      <c r="E816" s="3" t="inlineStr">
        <is>
          <t>Adamawa State University, Mubi (ADSU)</t>
        </is>
      </c>
      <c r="F816" s="3" t="inlineStr">
        <is>
          <t>https://adsu.edu.ng</t>
        </is>
      </c>
      <c r="G816" s="3" t="inlineStr"/>
      <c r="H816" s="3" t="inlineStr">
        <is>
          <t>THE2027: THE2027 Reporter (unranked)</t>
        </is>
      </c>
      <c r="I816" s="3" t="inlineStr"/>
      <c r="J816" s="4" t="inlineStr">
        <is>
          <t>не в рейтинге</t>
        </is>
      </c>
      <c r="K816" s="4" t="inlineStr">
        <is>
          <t>Reporter</t>
        </is>
      </c>
      <c r="L816" s="4" t="inlineStr">
        <is>
          <t>нет в опубл. списке (опубликован только топ-15 страны)</t>
        </is>
      </c>
      <c r="M816" s="4" t="inlineStr">
        <is>
          <t>нет общенационального рейтинга</t>
        </is>
      </c>
      <c r="N816" s="4" t="inlineStr">
        <is>
          <t>—</t>
        </is>
      </c>
      <c r="O816" s="4" t="inlineStr">
        <is>
          <t>https://www.timeshighereducation.com/world-university-rankings/2027/world-ranking
https://www.nuc.edu.ng/es-inaugurates-nuc-advisory-committee-on-varsities-ranking/</t>
        </is>
      </c>
      <c r="P816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17">
      <c r="A817" s="3" t="inlineStr">
        <is>
          <t>Nigeria|African University of Science and Technology</t>
        </is>
      </c>
      <c r="B817" s="3" t="inlineStr">
        <is>
          <t>Nigeria</t>
        </is>
      </c>
      <c r="C817" s="3" t="inlineStr">
        <is>
          <t>Абуджа</t>
        </is>
      </c>
      <c r="D817" s="3" t="inlineStr">
        <is>
          <t>African University of Science and Technology</t>
        </is>
      </c>
      <c r="E817" s="3" t="inlineStr">
        <is>
          <t>African University of Science and Technology (AUST), Abuja</t>
        </is>
      </c>
      <c r="F817" s="3" t="inlineStr">
        <is>
          <t>https://aust.edu.ng</t>
        </is>
      </c>
      <c r="G817" s="3" t="inlineStr"/>
      <c r="H817" s="3" t="inlineStr"/>
      <c r="I817" s="3" t="inlineStr"/>
      <c r="J817" s="4" t="inlineStr">
        <is>
          <t>не в рейтинге</t>
        </is>
      </c>
      <c r="K817" s="4" t="inlineStr">
        <is>
          <t>не в рейтинге</t>
        </is>
      </c>
      <c r="L817" s="4" t="inlineStr">
        <is>
          <t>нет в опубл. списке (опубликован только топ-15 страны)</t>
        </is>
      </c>
      <c r="M817" s="4" t="inlineStr">
        <is>
          <t>нет общенационального рейтинга</t>
        </is>
      </c>
      <c r="N817" s="4" t="inlineStr">
        <is>
          <t>—</t>
        </is>
      </c>
      <c r="O817" s="4" t="inlineStr">
        <is>
          <t>https://www.nuc.edu.ng/es-inaugurates-nuc-advisory-committee-on-varsities-ranking/</t>
        </is>
      </c>
      <c r="P817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18">
      <c r="A818" s="3" t="inlineStr">
        <is>
          <t>Nigeria|Ahmadu Bello University</t>
        </is>
      </c>
      <c r="B818" s="3" t="inlineStr">
        <is>
          <t>Nigeria</t>
        </is>
      </c>
      <c r="C818" s="3" t="inlineStr">
        <is>
          <t>Зария</t>
        </is>
      </c>
      <c r="D818" s="3" t="inlineStr">
        <is>
          <t>Ahmadu Bello University</t>
        </is>
      </c>
      <c r="E818" s="3" t="inlineStr">
        <is>
          <t>Ahmadu Bello University, Zaria</t>
        </is>
      </c>
      <c r="F818" s="3" t="inlineStr">
        <is>
          <t>https://abu.edu.ng</t>
        </is>
      </c>
      <c r="G818" s="3" t="inlineStr">
        <is>
          <t>QS2027: 1201–1400</t>
        </is>
      </c>
      <c r="H818" s="3" t="inlineStr">
        <is>
          <t>THE2027: 1001–1200</t>
        </is>
      </c>
      <c r="I818" s="3" t="inlineStr"/>
      <c r="J818" s="4" t="inlineStr">
        <is>
          <t>1201–1400</t>
        </is>
      </c>
      <c r="K818" s="4" t="inlineStr">
        <is>
          <t>1001–1200</t>
        </is>
      </c>
      <c r="L818" s="4" t="inlineStr">
        <is>
          <t>2001</t>
        </is>
      </c>
      <c r="M818" s="4" t="inlineStr">
        <is>
          <t>нет общенационального рейтинга</t>
        </is>
      </c>
      <c r="N818" s="4" t="inlineStr">
        <is>
          <t>—</t>
        </is>
      </c>
      <c r="O81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18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19">
      <c r="A819" s="3" t="inlineStr">
        <is>
          <t>Nigeria|Air Force Institute of Technology, Kaduna</t>
        </is>
      </c>
      <c r="B819" s="3" t="inlineStr">
        <is>
          <t>Nigeria</t>
        </is>
      </c>
      <c r="C819" s="3" t="inlineStr">
        <is>
          <t>Кадуна</t>
        </is>
      </c>
      <c r="D819" s="3" t="inlineStr">
        <is>
          <t>Air Force Institute of Technology, Kaduna</t>
        </is>
      </c>
      <c r="E819" s="3" t="inlineStr">
        <is>
          <t>Air Force Institute of Technology, Kaduna (AFIT)</t>
        </is>
      </c>
      <c r="F819" s="3" t="inlineStr">
        <is>
          <t>https://afit.edu.ng</t>
        </is>
      </c>
      <c r="G819" s="3" t="inlineStr"/>
      <c r="H819" s="3" t="inlineStr"/>
      <c r="I819" s="3" t="inlineStr"/>
      <c r="J819" s="4" t="inlineStr">
        <is>
          <t>не в рейтинге</t>
        </is>
      </c>
      <c r="K819" s="4" t="inlineStr">
        <is>
          <t>не в рейтинге</t>
        </is>
      </c>
      <c r="L819" s="4" t="inlineStr">
        <is>
          <t>нет в опубл. списке (опубликован только топ-15 страны)</t>
        </is>
      </c>
      <c r="M819" s="4" t="inlineStr">
        <is>
          <t>нет общенационального рейтинга</t>
        </is>
      </c>
      <c r="N819" s="4" t="inlineStr">
        <is>
          <t>—</t>
        </is>
      </c>
      <c r="O819" s="4" t="inlineStr">
        <is>
          <t>https://www.nuc.edu.ng/es-inaugurates-nuc-advisory-committee-on-varsities-ranking/</t>
        </is>
      </c>
      <c r="P819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0">
      <c r="A820" s="3" t="inlineStr">
        <is>
          <t>Nigeria|Akwa Ibom State University</t>
        </is>
      </c>
      <c r="B820" s="3" t="inlineStr">
        <is>
          <t>Nigeria</t>
        </is>
      </c>
      <c r="C820" s="3" t="inlineStr">
        <is>
          <t>Икот-Акпаден</t>
        </is>
      </c>
      <c r="D820" s="3" t="inlineStr">
        <is>
          <t>Akwa Ibom State University</t>
        </is>
      </c>
      <c r="E820" s="3" t="inlineStr">
        <is>
          <t>Akwa Ibom State University (AKSU)</t>
        </is>
      </c>
      <c r="F820" s="3" t="inlineStr">
        <is>
          <t>https://aksu.edu.ng</t>
        </is>
      </c>
      <c r="G820" s="3" t="inlineStr"/>
      <c r="H820" s="3" t="inlineStr">
        <is>
          <t>THE2027: THE2027 Reporter (unranked)</t>
        </is>
      </c>
      <c r="I820" s="3" t="inlineStr"/>
      <c r="J820" s="4" t="inlineStr">
        <is>
          <t>не в рейтинге</t>
        </is>
      </c>
      <c r="K820" s="4" t="inlineStr">
        <is>
          <t>Reporter</t>
        </is>
      </c>
      <c r="L820" s="4" t="inlineStr">
        <is>
          <t>нет в опубл. списке (опубликован только топ-15 страны)</t>
        </is>
      </c>
      <c r="M820" s="4" t="inlineStr">
        <is>
          <t>нет общенационального рейтинга</t>
        </is>
      </c>
      <c r="N820" s="4" t="inlineStr">
        <is>
          <t>—</t>
        </is>
      </c>
      <c r="O820" s="4" t="inlineStr">
        <is>
          <t>https://www.timeshighereducation.com/world-university-rankings/2027/world-ranking
https://www.nuc.edu.ng/es-inaugurates-nuc-advisory-committee-on-varsities-ranking/</t>
        </is>
      </c>
      <c r="P820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1">
      <c r="A821" s="3" t="inlineStr">
        <is>
          <t>Nigeria|Al-Hikmah University</t>
        </is>
      </c>
      <c r="B821" s="3" t="inlineStr">
        <is>
          <t>Nigeria</t>
        </is>
      </c>
      <c r="C821" s="3" t="inlineStr">
        <is>
          <t>Илорин</t>
        </is>
      </c>
      <c r="D821" s="3" t="inlineStr">
        <is>
          <t>Al-Hikmah University</t>
        </is>
      </c>
      <c r="E821" s="3" t="inlineStr">
        <is>
          <t>Al-Hikmah University, Ilorin</t>
        </is>
      </c>
      <c r="F821" s="3" t="inlineStr">
        <is>
          <t>https://alhikmahuniversity.edu.ng</t>
        </is>
      </c>
      <c r="G821" s="3" t="inlineStr"/>
      <c r="H821" s="3" t="inlineStr">
        <is>
          <t>THE2027: THE2027 Reporter (unranked)</t>
        </is>
      </c>
      <c r="I821" s="3" t="inlineStr"/>
      <c r="J821" s="4" t="inlineStr">
        <is>
          <t>не в рейтинге</t>
        </is>
      </c>
      <c r="K821" s="4" t="inlineStr">
        <is>
          <t>Reporter</t>
        </is>
      </c>
      <c r="L821" s="4" t="inlineStr">
        <is>
          <t>нет в опубл. списке (опубликован только топ-15 страны)</t>
        </is>
      </c>
      <c r="M821" s="4" t="inlineStr">
        <is>
          <t>нет общенационального рейтинга</t>
        </is>
      </c>
      <c r="N821" s="4" t="inlineStr">
        <is>
          <t>—</t>
        </is>
      </c>
      <c r="O821" s="4" t="inlineStr">
        <is>
          <t>https://www.timeshighereducation.com/world-university-rankings/2027/world-ranking
https://www.nuc.edu.ng/es-inaugurates-nuc-advisory-committee-on-varsities-ranking/</t>
        </is>
      </c>
      <c r="P821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2">
      <c r="A822" s="3" t="inlineStr">
        <is>
          <t>Nigeria|Ambrose Alli University</t>
        </is>
      </c>
      <c r="B822" s="3" t="inlineStr">
        <is>
          <t>Nigeria</t>
        </is>
      </c>
      <c r="C822" s="3" t="inlineStr">
        <is>
          <t>Экпома</t>
        </is>
      </c>
      <c r="D822" s="3" t="inlineStr">
        <is>
          <t>Ambrose Alli University</t>
        </is>
      </c>
      <c r="E822" s="3" t="inlineStr">
        <is>
          <t>Ambrose Alli University, Ekpoma (AAU)</t>
        </is>
      </c>
      <c r="F822" s="3" t="inlineStr">
        <is>
          <t>https://aauekpoma.edu.ng</t>
        </is>
      </c>
      <c r="G822" s="3" t="inlineStr"/>
      <c r="H822" s="3" t="inlineStr">
        <is>
          <t>THE2027: THE2027 Reporter (unranked)</t>
        </is>
      </c>
      <c r="I822" s="3" t="inlineStr"/>
      <c r="J822" s="4" t="inlineStr">
        <is>
          <t>не в рейтинге</t>
        </is>
      </c>
      <c r="K822" s="4" t="inlineStr">
        <is>
          <t>Reporter</t>
        </is>
      </c>
      <c r="L822" s="4" t="inlineStr">
        <is>
          <t>нет в опубл. списке (опубликован только топ-15 страны)</t>
        </is>
      </c>
      <c r="M822" s="4" t="inlineStr">
        <is>
          <t>нет общенационального рейтинга</t>
        </is>
      </c>
      <c r="N822" s="4" t="inlineStr">
        <is>
          <t>—</t>
        </is>
      </c>
      <c r="O822" s="4" t="inlineStr">
        <is>
          <t>https://www.timeshighereducation.com/world-university-rankings/2027/world-ranking
https://www.nuc.edu.ng/es-inaugurates-nuc-advisory-committee-on-varsities-ranking/</t>
        </is>
      </c>
      <c r="P822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3">
      <c r="A823" s="3" t="inlineStr">
        <is>
          <t>Nigeria|Babcock University</t>
        </is>
      </c>
      <c r="B823" s="3" t="inlineStr">
        <is>
          <t>Nigeria</t>
        </is>
      </c>
      <c r="C823" s="3" t="inlineStr">
        <is>
          <t>Илишан-Ремо</t>
        </is>
      </c>
      <c r="D823" s="3" t="inlineStr">
        <is>
          <t>Babcock University</t>
        </is>
      </c>
      <c r="E823" s="3" t="inlineStr">
        <is>
          <t>Babcock University</t>
        </is>
      </c>
      <c r="F823" s="3" t="inlineStr">
        <is>
          <t>https://babcock.edu.ng</t>
        </is>
      </c>
      <c r="G823" s="3" t="inlineStr"/>
      <c r="H823" s="3" t="inlineStr">
        <is>
          <t>THE2027: 1201–1400</t>
        </is>
      </c>
      <c r="I823" s="3" t="inlineStr"/>
      <c r="J823" s="4" t="inlineStr">
        <is>
          <t>не в рейтинге</t>
        </is>
      </c>
      <c r="K823" s="4" t="inlineStr">
        <is>
          <t>1201–1400</t>
        </is>
      </c>
      <c r="L823" s="4" t="inlineStr">
        <is>
          <t>нет в опубл. списке (опубликован только топ-15 страны)</t>
        </is>
      </c>
      <c r="M823" s="4" t="inlineStr">
        <is>
          <t>нет общенационального рейтинга</t>
        </is>
      </c>
      <c r="N823" s="4" t="inlineStr">
        <is>
          <t>—</t>
        </is>
      </c>
      <c r="O823" s="4" t="inlineStr">
        <is>
          <t>https://www.timeshighereducation.com/world-university-rankings/2027/world-ranking
https://www.nuc.edu.ng/es-inaugurates-nuc-advisory-committee-on-varsities-ranking/</t>
        </is>
      </c>
      <c r="P823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4">
      <c r="A824" s="3" t="inlineStr">
        <is>
          <t>Nigeria|Bayero University, Kano</t>
        </is>
      </c>
      <c r="B824" s="3" t="inlineStr">
        <is>
          <t>Nigeria</t>
        </is>
      </c>
      <c r="C824" s="3" t="inlineStr">
        <is>
          <t>Кано</t>
        </is>
      </c>
      <c r="D824" s="3" t="inlineStr">
        <is>
          <t>Bayero University, Kano</t>
        </is>
      </c>
      <c r="E824" s="3" t="inlineStr">
        <is>
          <t>Bayero University, Kano</t>
        </is>
      </c>
      <c r="F824" s="3" t="inlineStr">
        <is>
          <t>https://buk.edu.ng</t>
        </is>
      </c>
      <c r="G824" s="3" t="inlineStr"/>
      <c r="H824" s="3" t="inlineStr">
        <is>
          <t>THE2027: 1001–1200</t>
        </is>
      </c>
      <c r="I824" s="3" t="inlineStr"/>
      <c r="J824" s="4" t="inlineStr">
        <is>
          <t>не в рейтинге</t>
        </is>
      </c>
      <c r="K824" s="4" t="inlineStr">
        <is>
          <t>1001–1200</t>
        </is>
      </c>
      <c r="L824" s="4" t="inlineStr">
        <is>
          <t>2639</t>
        </is>
      </c>
      <c r="M824" s="4" t="inlineStr">
        <is>
          <t>нет общенационального рейтинга</t>
        </is>
      </c>
      <c r="N824" s="4" t="inlineStr">
        <is>
          <t>—</t>
        </is>
      </c>
      <c r="O824" s="4" t="inlineStr">
        <is>
          <t>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24" s="4" t="inlineStr">
        <is>
          <t>THE: в таблице как «Bayero University»;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5">
      <c r="A825" s="3" t="inlineStr">
        <is>
          <t>Nigeria|Delta State University, Abraka</t>
        </is>
      </c>
      <c r="B825" s="3" t="inlineStr">
        <is>
          <t>Nigeria</t>
        </is>
      </c>
      <c r="C825" s="3" t="inlineStr">
        <is>
          <t>Абрака</t>
        </is>
      </c>
      <c r="D825" s="3" t="inlineStr">
        <is>
          <t>Delta State University, Abraka</t>
        </is>
      </c>
      <c r="E825" s="3" t="inlineStr">
        <is>
          <t>Delta State University, Abraka (DELSU)</t>
        </is>
      </c>
      <c r="F825" s="3" t="inlineStr">
        <is>
          <t>https://www.delsu.edu.ng</t>
        </is>
      </c>
      <c r="G825" s="3" t="inlineStr"/>
      <c r="H825" s="3" t="inlineStr">
        <is>
          <t>THE2027: 2001+</t>
        </is>
      </c>
      <c r="I825" s="3" t="inlineStr"/>
      <c r="J825" s="4" t="inlineStr">
        <is>
          <t>не в рейтинге</t>
        </is>
      </c>
      <c r="K825" s="4" t="inlineStr">
        <is>
          <t>2001+</t>
        </is>
      </c>
      <c r="L825" s="4" t="inlineStr">
        <is>
          <t>нет в опубл. списке (опубликован только топ-15 страны)</t>
        </is>
      </c>
      <c r="M825" s="4" t="inlineStr">
        <is>
          <t>нет общенационального рейтинга</t>
        </is>
      </c>
      <c r="N825" s="4" t="inlineStr">
        <is>
          <t>—</t>
        </is>
      </c>
      <c r="O825" s="4" t="inlineStr">
        <is>
          <t>https://www.timeshighereducation.com/world-university-rankings/2027/world-ranking
https://www.nuc.edu.ng/es-inaugurates-nuc-advisory-committee-on-varsities-ranking/</t>
        </is>
      </c>
      <c r="P825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6">
      <c r="A826" s="3" t="inlineStr">
        <is>
          <t>Nigeria|Federal University of Agriculture, Abeokuta</t>
        </is>
      </c>
      <c r="B826" s="3" t="inlineStr">
        <is>
          <t>Nigeria</t>
        </is>
      </c>
      <c r="C826" s="3" t="inlineStr">
        <is>
          <t>Абеокута</t>
        </is>
      </c>
      <c r="D826" s="3" t="inlineStr">
        <is>
          <t>Federal University of Agriculture, Abeokuta</t>
        </is>
      </c>
      <c r="E826" s="3" t="inlineStr">
        <is>
          <t>Federal University of Agriculture, Abeokuta (FUNAAB)</t>
        </is>
      </c>
      <c r="F826" s="3" t="inlineStr">
        <is>
          <t>https://funaab.edu.ng</t>
        </is>
      </c>
      <c r="G826" s="3" t="inlineStr"/>
      <c r="H826" s="3" t="inlineStr">
        <is>
          <t>THE2027: 2001+</t>
        </is>
      </c>
      <c r="I826" s="3" t="inlineStr"/>
      <c r="J826" s="4" t="inlineStr">
        <is>
          <t>не в рейтинге</t>
        </is>
      </c>
      <c r="K826" s="4" t="inlineStr">
        <is>
          <t>2001+</t>
        </is>
      </c>
      <c r="L826" s="4" t="inlineStr">
        <is>
          <t>нет в опубл. списке (опубликован только топ-15 страны)</t>
        </is>
      </c>
      <c r="M826" s="4" t="inlineStr">
        <is>
          <t>нет общенационального рейтинга</t>
        </is>
      </c>
      <c r="N826" s="4" t="inlineStr">
        <is>
          <t>—</t>
        </is>
      </c>
      <c r="O826" s="4" t="inlineStr">
        <is>
          <t>https://www.timeshighereducation.com/world-university-rankings/2027/world-ranking
https://www.nuc.edu.ng/es-inaugurates-nuc-advisory-committee-on-varsities-ranking/</t>
        </is>
      </c>
      <c r="P826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7">
      <c r="A827" s="3" t="inlineStr">
        <is>
          <t>Nigeria|Federal University of Technology, Minna</t>
        </is>
      </c>
      <c r="B827" s="3" t="inlineStr">
        <is>
          <t>Nigeria</t>
        </is>
      </c>
      <c r="C827" s="3" t="inlineStr">
        <is>
          <t>Минна</t>
        </is>
      </c>
      <c r="D827" s="3" t="inlineStr">
        <is>
          <t>Federal University of Technology, Minna</t>
        </is>
      </c>
      <c r="E827" s="3" t="inlineStr">
        <is>
          <t>Federal University of Technology, Minna</t>
        </is>
      </c>
      <c r="F827" s="3" t="inlineStr">
        <is>
          <t>https://futminna.edu.ng</t>
        </is>
      </c>
      <c r="G827" s="3" t="inlineStr"/>
      <c r="H827" s="3" t="inlineStr">
        <is>
          <t>THE2027: 1401–1600</t>
        </is>
      </c>
      <c r="I827" s="3" t="inlineStr"/>
      <c r="J827" s="4" t="inlineStr">
        <is>
          <t>не в рейтинге</t>
        </is>
      </c>
      <c r="K827" s="4" t="inlineStr">
        <is>
          <t>1401–1600</t>
        </is>
      </c>
      <c r="L827" s="4" t="inlineStr">
        <is>
          <t>2798</t>
        </is>
      </c>
      <c r="M827" s="4" t="inlineStr">
        <is>
          <t>нет общенационального рейтинга</t>
        </is>
      </c>
      <c r="N827" s="4" t="inlineStr">
        <is>
          <t>—</t>
        </is>
      </c>
      <c r="O827" s="4" t="inlineStr">
        <is>
          <t>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27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8">
      <c r="A828" s="3" t="inlineStr">
        <is>
          <t>Nigeria|Federal University of Technology, Owerri</t>
        </is>
      </c>
      <c r="B828" s="3" t="inlineStr">
        <is>
          <t>Nigeria</t>
        </is>
      </c>
      <c r="C828" s="3" t="inlineStr">
        <is>
          <t>Оверри</t>
        </is>
      </c>
      <c r="D828" s="3" t="inlineStr">
        <is>
          <t>Federal University of Technology, Owerri</t>
        </is>
      </c>
      <c r="E828" s="3" t="inlineStr">
        <is>
          <t>Federal University of Technology Owerri (FUTO)</t>
        </is>
      </c>
      <c r="F828" s="3" t="inlineStr">
        <is>
          <t>https://futo.edu.ng</t>
        </is>
      </c>
      <c r="G828" s="3" t="inlineStr"/>
      <c r="H828" s="3" t="inlineStr">
        <is>
          <t>THE2027: 1801–2000</t>
        </is>
      </c>
      <c r="I828" s="3" t="inlineStr"/>
      <c r="J828" s="4" t="inlineStr">
        <is>
          <t>не в рейтинге</t>
        </is>
      </c>
      <c r="K828" s="4" t="inlineStr">
        <is>
          <t>1801–2000</t>
        </is>
      </c>
      <c r="L828" s="4" t="inlineStr">
        <is>
          <t>нет в опубл. списке (опубликован только топ-15 страны)</t>
        </is>
      </c>
      <c r="M828" s="4" t="inlineStr">
        <is>
          <t>нет общенационального рейтинга</t>
        </is>
      </c>
      <c r="N828" s="4" t="inlineStr">
        <is>
          <t>—</t>
        </is>
      </c>
      <c r="O828" s="4" t="inlineStr">
        <is>
          <t>https://www.timeshighereducation.com/world-university-rankings/2027/world-ranking
https://www.nuc.edu.ng/es-inaugurates-nuc-advisory-committee-on-varsities-ranking/</t>
        </is>
      </c>
      <c r="P828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29">
      <c r="A829" s="3" t="inlineStr">
        <is>
          <t>Nigeria|Kwara State University</t>
        </is>
      </c>
      <c r="B829" s="3" t="inlineStr">
        <is>
          <t>Nigeria</t>
        </is>
      </c>
      <c r="C829" s="3" t="inlineStr">
        <is>
          <t>Малете</t>
        </is>
      </c>
      <c r="D829" s="3" t="inlineStr">
        <is>
          <t>Kwara State University</t>
        </is>
      </c>
      <c r="E829" s="3" t="inlineStr">
        <is>
          <t>Kwara State University, Malete (KWASU)</t>
        </is>
      </c>
      <c r="F829" s="3" t="inlineStr">
        <is>
          <t>https://kwasu.edu.ng</t>
        </is>
      </c>
      <c r="G829" s="3" t="inlineStr"/>
      <c r="H829" s="3" t="inlineStr">
        <is>
          <t>THE2027: 2001+</t>
        </is>
      </c>
      <c r="I829" s="3" t="inlineStr"/>
      <c r="J829" s="4" t="inlineStr">
        <is>
          <t>не в рейтинге</t>
        </is>
      </c>
      <c r="K829" s="4" t="inlineStr">
        <is>
          <t>2001+</t>
        </is>
      </c>
      <c r="L829" s="4" t="inlineStr">
        <is>
          <t>нет в опубл. списке (опубликован только топ-15 страны)</t>
        </is>
      </c>
      <c r="M829" s="4" t="inlineStr">
        <is>
          <t>нет общенационального рейтинга</t>
        </is>
      </c>
      <c r="N829" s="4" t="inlineStr">
        <is>
          <t>—</t>
        </is>
      </c>
      <c r="O829" s="4" t="inlineStr">
        <is>
          <t>https://www.timeshighereducation.com/world-university-rankings/2027/world-ranking
https://www.nuc.edu.ng/es-inaugurates-nuc-advisory-committee-on-varsities-ranking/</t>
        </is>
      </c>
      <c r="P829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0">
      <c r="A830" s="3" t="inlineStr">
        <is>
          <t>Nigeria|Ladoke Akintola University of Technology</t>
        </is>
      </c>
      <c r="B830" s="3" t="inlineStr">
        <is>
          <t>Nigeria</t>
        </is>
      </c>
      <c r="C830" s="3" t="inlineStr">
        <is>
          <t>Огбомошо</t>
        </is>
      </c>
      <c r="D830" s="3" t="inlineStr">
        <is>
          <t>Ladoke Akintola University of Technology</t>
        </is>
      </c>
      <c r="E830" s="3" t="inlineStr">
        <is>
          <t>Ladoke Akintola University of Technology (LAUTECH)</t>
        </is>
      </c>
      <c r="F830" s="3" t="inlineStr">
        <is>
          <t>https://lautech.edu.ng</t>
        </is>
      </c>
      <c r="G830" s="3" t="inlineStr"/>
      <c r="H830" s="3" t="inlineStr">
        <is>
          <t>THE2027: 1801–2000</t>
        </is>
      </c>
      <c r="I830" s="3" t="inlineStr"/>
      <c r="J830" s="4" t="inlineStr">
        <is>
          <t>не в рейтинге</t>
        </is>
      </c>
      <c r="K830" s="4" t="inlineStr">
        <is>
          <t>1801–2000</t>
        </is>
      </c>
      <c r="L830" s="4" t="inlineStr">
        <is>
          <t>нет в опубл. списке (опубликован только топ-15 страны)</t>
        </is>
      </c>
      <c r="M830" s="4" t="inlineStr">
        <is>
          <t>нет общенационального рейтинга</t>
        </is>
      </c>
      <c r="N830" s="4" t="inlineStr">
        <is>
          <t>—</t>
        </is>
      </c>
      <c r="O830" s="4" t="inlineStr">
        <is>
          <t>https://www.timeshighereducation.com/world-university-rankings/2027/world-ranking
https://www.nuc.edu.ng/es-inaugurates-nuc-advisory-committee-on-varsities-ranking/</t>
        </is>
      </c>
      <c r="P830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1">
      <c r="A831" s="3" t="inlineStr">
        <is>
          <t>Nigeria|Lagos State University</t>
        </is>
      </c>
      <c r="B831" s="3" t="inlineStr">
        <is>
          <t>Nigeria</t>
        </is>
      </c>
      <c r="C831" s="3" t="inlineStr">
        <is>
          <t>Лагос</t>
        </is>
      </c>
      <c r="D831" s="3" t="inlineStr">
        <is>
          <t>Lagos State University</t>
        </is>
      </c>
      <c r="E831" s="3" t="inlineStr">
        <is>
          <t>Lagos State University (LASU)</t>
        </is>
      </c>
      <c r="F831" s="3" t="inlineStr">
        <is>
          <t>https://lasu.edu.ng</t>
        </is>
      </c>
      <c r="G831" s="3" t="inlineStr"/>
      <c r="H831" s="3" t="inlineStr">
        <is>
          <t>THE2027: 1801–2000</t>
        </is>
      </c>
      <c r="I831" s="3" t="inlineStr"/>
      <c r="J831" s="4" t="inlineStr">
        <is>
          <t>не в рейтинге</t>
        </is>
      </c>
      <c r="K831" s="4" t="inlineStr">
        <is>
          <t>1801–2000</t>
        </is>
      </c>
      <c r="L831" s="4" t="inlineStr">
        <is>
          <t>нет в опубл. списке (опубликован только топ-15 страны)</t>
        </is>
      </c>
      <c r="M831" s="4" t="inlineStr">
        <is>
          <t>нет общенационального рейтинга</t>
        </is>
      </c>
      <c r="N831" s="4" t="inlineStr">
        <is>
          <t>—</t>
        </is>
      </c>
      <c r="O831" s="4" t="inlineStr">
        <is>
          <t>https://www.timeshighereducation.com/world-university-rankings/2027/world-ranking
https://www.nuc.edu.ng/es-inaugurates-nuc-advisory-committee-on-varsities-ranking/</t>
        </is>
      </c>
      <c r="P831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2">
      <c r="A832" s="3" t="inlineStr">
        <is>
          <t>Nigeria|Michael Okpara University of Agriculture, Umudike</t>
        </is>
      </c>
      <c r="B832" s="3" t="inlineStr">
        <is>
          <t>Nigeria</t>
        </is>
      </c>
      <c r="C832" s="3" t="inlineStr">
        <is>
          <t>Умудике</t>
        </is>
      </c>
      <c r="D832" s="3" t="inlineStr">
        <is>
          <t>Michael Okpara University of Agriculture, Umudike</t>
        </is>
      </c>
      <c r="E832" s="3" t="inlineStr">
        <is>
          <t>Michael Okpara University of Agriculture, Umudike (MOUAU)</t>
        </is>
      </c>
      <c r="F832" s="3" t="inlineStr">
        <is>
          <t>https://mouau.edu.ng</t>
        </is>
      </c>
      <c r="G832" s="3" t="inlineStr"/>
      <c r="H832" s="3" t="inlineStr">
        <is>
          <t>THE2027: 2001+</t>
        </is>
      </c>
      <c r="I832" s="3" t="inlineStr"/>
      <c r="J832" s="4" t="inlineStr">
        <is>
          <t>не в рейтинге</t>
        </is>
      </c>
      <c r="K832" s="4" t="inlineStr">
        <is>
          <t>2001+</t>
        </is>
      </c>
      <c r="L832" s="4" t="inlineStr">
        <is>
          <t>нет в опубл. списке (опубликован только топ-15 страны)</t>
        </is>
      </c>
      <c r="M832" s="4" t="inlineStr">
        <is>
          <t>нет общенационального рейтинга</t>
        </is>
      </c>
      <c r="N832" s="4" t="inlineStr">
        <is>
          <t>—</t>
        </is>
      </c>
      <c r="O832" s="4" t="inlineStr">
        <is>
          <t>https://www.timeshighereducation.com/world-university-rankings/2027/world-ranking
https://www.nuc.edu.ng/es-inaugurates-nuc-advisory-committee-on-varsities-ranking/</t>
        </is>
      </c>
      <c r="P832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3">
      <c r="A833" s="3" t="inlineStr">
        <is>
          <t>Nigeria|National Space Research and Development Agency (NASRDA)</t>
        </is>
      </c>
      <c r="B833" s="3" t="inlineStr">
        <is>
          <t>Nigeria</t>
        </is>
      </c>
      <c r="C833" s="3" t="inlineStr">
        <is>
          <t>Абуджа</t>
        </is>
      </c>
      <c r="D833" s="3" t="inlineStr">
        <is>
          <t>National Space Research and Development Agency (NASRDA)</t>
        </is>
      </c>
      <c r="E833" s="3" t="inlineStr">
        <is>
          <t>National Space Research and Development Agency</t>
        </is>
      </c>
      <c r="F833" s="3" t="inlineStr">
        <is>
          <t>https://central.nasrda.gov.ng</t>
        </is>
      </c>
      <c r="G833" s="3" t="inlineStr"/>
      <c r="H833" s="3" t="inlineStr"/>
      <c r="I833" s="3" t="inlineStr"/>
      <c r="J833" s="4" t="inlineStr">
        <is>
          <t>не в рейтинге</t>
        </is>
      </c>
      <c r="K833" s="4" t="inlineStr">
        <is>
          <t>не в рейтинге</t>
        </is>
      </c>
      <c r="L833" s="4" t="inlineStr">
        <is>
          <t>нет в опубл. списке (опубликован только топ-15 страны)</t>
        </is>
      </c>
      <c r="M833" s="4" t="inlineStr">
        <is>
          <t>нет общенационального рейтинга</t>
        </is>
      </c>
      <c r="N833" s="4" t="inlineStr">
        <is>
          <t>—</t>
        </is>
      </c>
      <c r="O833" s="4" t="inlineStr">
        <is>
          <t>https://www.nuc.edu.ng/es-inaugurates-nuc-advisory-committee-on-varsities-ranking/</t>
        </is>
      </c>
      <c r="P833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4">
      <c r="A834" s="3" t="inlineStr">
        <is>
          <t>Nigeria|Nnamdi Azikiwe University</t>
        </is>
      </c>
      <c r="B834" s="3" t="inlineStr">
        <is>
          <t>Nigeria</t>
        </is>
      </c>
      <c r="C834" s="3" t="inlineStr">
        <is>
          <t>Авка</t>
        </is>
      </c>
      <c r="D834" s="3" t="inlineStr">
        <is>
          <t>Nnamdi Azikiwe University</t>
        </is>
      </c>
      <c r="E834" s="3" t="inlineStr">
        <is>
          <t>Nnamdi Azikiwe University, Awka (UNIZIK)</t>
        </is>
      </c>
      <c r="F834" s="3" t="inlineStr">
        <is>
          <t>https://unizik.edu.ng</t>
        </is>
      </c>
      <c r="G834" s="3" t="inlineStr"/>
      <c r="H834" s="3" t="inlineStr">
        <is>
          <t>THE2027: 1401–1600</t>
        </is>
      </c>
      <c r="I834" s="3" t="inlineStr"/>
      <c r="J834" s="4" t="inlineStr">
        <is>
          <t>не в рейтинге</t>
        </is>
      </c>
      <c r="K834" s="4" t="inlineStr">
        <is>
          <t>1401–1600</t>
        </is>
      </c>
      <c r="L834" s="4" t="inlineStr">
        <is>
          <t>2291</t>
        </is>
      </c>
      <c r="M834" s="4" t="inlineStr">
        <is>
          <t>нет общенационального рейтинга</t>
        </is>
      </c>
      <c r="N834" s="4" t="inlineStr">
        <is>
          <t>—</t>
        </is>
      </c>
      <c r="O834" s="4" t="inlineStr">
        <is>
          <t>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34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5">
      <c r="A835" s="3" t="inlineStr">
        <is>
          <t>Nigeria|Obafemi Awolowo University</t>
        </is>
      </c>
      <c r="B835" s="3" t="inlineStr">
        <is>
          <t>Nigeria</t>
        </is>
      </c>
      <c r="C835" s="3" t="inlineStr">
        <is>
          <t>Иле-Ифе</t>
        </is>
      </c>
      <c r="D835" s="3" t="inlineStr">
        <is>
          <t>Obafemi Awolowo University</t>
        </is>
      </c>
      <c r="E835" s="3" t="inlineStr">
        <is>
          <t>Obafemi Awolowo University</t>
        </is>
      </c>
      <c r="F835" s="3" t="inlineStr">
        <is>
          <t>https://oauife.edu.ng</t>
        </is>
      </c>
      <c r="G835" s="3" t="inlineStr"/>
      <c r="H835" s="3" t="inlineStr">
        <is>
          <t>THE2027: 1401–1600</t>
        </is>
      </c>
      <c r="I835" s="3" t="inlineStr"/>
      <c r="J835" s="4" t="inlineStr">
        <is>
          <t>1401+</t>
        </is>
      </c>
      <c r="K835" s="4" t="inlineStr">
        <is>
          <t>1401–1600</t>
        </is>
      </c>
      <c r="L835" s="4" t="inlineStr">
        <is>
          <t>1960</t>
        </is>
      </c>
      <c r="M835" s="4" t="inlineStr">
        <is>
          <t>нет общенационального рейтинга</t>
        </is>
      </c>
      <c r="N835" s="4" t="inlineStr">
        <is>
          <t>—</t>
        </is>
      </c>
      <c r="O83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35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6">
      <c r="A836" s="3" t="inlineStr">
        <is>
          <t>Nigeria|Osun State University</t>
        </is>
      </c>
      <c r="B836" s="3" t="inlineStr">
        <is>
          <t>Nigeria</t>
        </is>
      </c>
      <c r="C836" s="3" t="inlineStr">
        <is>
          <t>Осогбо</t>
        </is>
      </c>
      <c r="D836" s="3" t="inlineStr">
        <is>
          <t>Osun State University</t>
        </is>
      </c>
      <c r="E836" s="3" t="inlineStr">
        <is>
          <t>Osun State University (UNIOSUN)</t>
        </is>
      </c>
      <c r="F836" s="3" t="inlineStr">
        <is>
          <t>https://uniosun.edu.ng</t>
        </is>
      </c>
      <c r="G836" s="3" t="inlineStr"/>
      <c r="H836" s="3" t="inlineStr">
        <is>
          <t>THE2027: 1201–1400</t>
        </is>
      </c>
      <c r="I836" s="3" t="inlineStr"/>
      <c r="J836" s="4" t="inlineStr">
        <is>
          <t>не в рейтинге</t>
        </is>
      </c>
      <c r="K836" s="4" t="inlineStr">
        <is>
          <t>1201–1400</t>
        </is>
      </c>
      <c r="L836" s="4" t="inlineStr">
        <is>
          <t>нет в опубл. списке (опубликован только топ-15 страны)</t>
        </is>
      </c>
      <c r="M836" s="4" t="inlineStr">
        <is>
          <t>нет общенационального рейтинга</t>
        </is>
      </c>
      <c r="N836" s="4" t="inlineStr">
        <is>
          <t>—</t>
        </is>
      </c>
      <c r="O836" s="4" t="inlineStr">
        <is>
          <t>https://www.timeshighereducation.com/world-university-rankings/2027/world-ranking
https://www.nuc.edu.ng/es-inaugurates-nuc-advisory-committee-on-varsities-ranking/</t>
        </is>
      </c>
      <c r="P836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7">
      <c r="A837" s="3" t="inlineStr">
        <is>
          <t>Nigeria|University of Calabar</t>
        </is>
      </c>
      <c r="B837" s="3" t="inlineStr">
        <is>
          <t>Nigeria</t>
        </is>
      </c>
      <c r="C837" s="3" t="inlineStr">
        <is>
          <t>Калабар</t>
        </is>
      </c>
      <c r="D837" s="3" t="inlineStr">
        <is>
          <t>University of Calabar</t>
        </is>
      </c>
      <c r="E837" s="3" t="inlineStr">
        <is>
          <t>University of Calabar (UNICAL)</t>
        </is>
      </c>
      <c r="F837" s="3" t="inlineStr">
        <is>
          <t>https://unical.edu.ng</t>
        </is>
      </c>
      <c r="G837" s="3" t="inlineStr"/>
      <c r="H837" s="3" t="inlineStr">
        <is>
          <t>THE2027: 1801–2000</t>
        </is>
      </c>
      <c r="I837" s="3" t="inlineStr"/>
      <c r="J837" s="4" t="inlineStr">
        <is>
          <t>не в рейтинге</t>
        </is>
      </c>
      <c r="K837" s="4" t="inlineStr">
        <is>
          <t>1801–2000</t>
        </is>
      </c>
      <c r="L837" s="4" t="inlineStr">
        <is>
          <t>2794</t>
        </is>
      </c>
      <c r="M837" s="4" t="inlineStr">
        <is>
          <t>нет общенационального рейтинга</t>
        </is>
      </c>
      <c r="N837" s="4" t="inlineStr">
        <is>
          <t>—</t>
        </is>
      </c>
      <c r="O837" s="4" t="inlineStr">
        <is>
          <t>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37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8">
      <c r="A838" s="3" t="inlineStr">
        <is>
          <t>Nigeria|University of Ibadan</t>
        </is>
      </c>
      <c r="B838" s="3" t="inlineStr">
        <is>
          <t>Nigeria</t>
        </is>
      </c>
      <c r="C838" s="3" t="inlineStr">
        <is>
          <t>Ибадан</t>
        </is>
      </c>
      <c r="D838" s="3" t="inlineStr">
        <is>
          <t>University of Ibadan</t>
        </is>
      </c>
      <c r="E838" s="3" t="inlineStr">
        <is>
          <t>University of Ibadan</t>
        </is>
      </c>
      <c r="F838" s="3" t="inlineStr">
        <is>
          <t>https://ui.edu.ng</t>
        </is>
      </c>
      <c r="G838" s="3" t="inlineStr">
        <is>
          <t>QS2027: 1001–1200</t>
        </is>
      </c>
      <c r="H838" s="3" t="inlineStr">
        <is>
          <t>THE2027: 801–1000</t>
        </is>
      </c>
      <c r="I838" s="3" t="inlineStr"/>
      <c r="J838" s="4" t="inlineStr">
        <is>
          <t>1001–1200</t>
        </is>
      </c>
      <c r="K838" s="4" t="inlineStr">
        <is>
          <t>801–1000</t>
        </is>
      </c>
      <c r="L838" s="4" t="inlineStr">
        <is>
          <t>1308</t>
        </is>
      </c>
      <c r="M838" s="4" t="inlineStr">
        <is>
          <t>нет общенационального рейтинга</t>
        </is>
      </c>
      <c r="N838" s="4" t="inlineStr">
        <is>
          <t>—</t>
        </is>
      </c>
      <c r="O83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38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39">
      <c r="A839" s="3" t="inlineStr">
        <is>
          <t>Nigeria|University of Ilorin</t>
        </is>
      </c>
      <c r="B839" s="3" t="inlineStr">
        <is>
          <t>Nigeria</t>
        </is>
      </c>
      <c r="C839" s="3" t="inlineStr">
        <is>
          <t>Илорин</t>
        </is>
      </c>
      <c r="D839" s="3" t="inlineStr">
        <is>
          <t>University of Ilorin</t>
        </is>
      </c>
      <c r="E839" s="3" t="inlineStr">
        <is>
          <t>University of Ilorin</t>
        </is>
      </c>
      <c r="F839" s="3" t="inlineStr">
        <is>
          <t>https://www.unilorin.edu.ng</t>
        </is>
      </c>
      <c r="G839" s="3" t="inlineStr"/>
      <c r="H839" s="3" t="inlineStr">
        <is>
          <t>THE2027: 1001–1200</t>
        </is>
      </c>
      <c r="I839" s="3" t="inlineStr"/>
      <c r="J839" s="4" t="inlineStr">
        <is>
          <t>не в рейтинге</t>
        </is>
      </c>
      <c r="K839" s="4" t="inlineStr">
        <is>
          <t>1001–1200</t>
        </is>
      </c>
      <c r="L839" s="4" t="inlineStr">
        <is>
          <t>1970</t>
        </is>
      </c>
      <c r="M839" s="4" t="inlineStr">
        <is>
          <t>нет общенационального рейтинга</t>
        </is>
      </c>
      <c r="N839" s="4" t="inlineStr">
        <is>
          <t>—</t>
        </is>
      </c>
      <c r="O839" s="4" t="inlineStr">
        <is>
          <t>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39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40">
      <c r="A840" s="3" t="inlineStr">
        <is>
          <t>Nigeria|University of Jos</t>
        </is>
      </c>
      <c r="B840" s="3" t="inlineStr">
        <is>
          <t>Nigeria</t>
        </is>
      </c>
      <c r="C840" s="3" t="inlineStr">
        <is>
          <t>Джос</t>
        </is>
      </c>
      <c r="D840" s="3" t="inlineStr">
        <is>
          <t>University of Jos</t>
        </is>
      </c>
      <c r="E840" s="3" t="inlineStr">
        <is>
          <t>University of Jos (UNIJOS)</t>
        </is>
      </c>
      <c r="F840" s="3" t="inlineStr">
        <is>
          <t>https://www.unijos.edu.ng</t>
        </is>
      </c>
      <c r="G840" s="3" t="inlineStr"/>
      <c r="H840" s="3" t="inlineStr">
        <is>
          <t>THE2027: 1401–1600</t>
        </is>
      </c>
      <c r="I840" s="3" t="inlineStr"/>
      <c r="J840" s="4" t="inlineStr">
        <is>
          <t>не в рейтинге</t>
        </is>
      </c>
      <c r="K840" s="4" t="inlineStr">
        <is>
          <t>1401–1600</t>
        </is>
      </c>
      <c r="L840" s="4" t="inlineStr">
        <is>
          <t>нет в опубл. списке (опубликован только топ-15 страны)</t>
        </is>
      </c>
      <c r="M840" s="4" t="inlineStr">
        <is>
          <t>нет общенационального рейтинга</t>
        </is>
      </c>
      <c r="N840" s="4" t="inlineStr">
        <is>
          <t>—</t>
        </is>
      </c>
      <c r="O840" s="4" t="inlineStr">
        <is>
          <t>https://www.timeshighereducation.com/world-university-rankings/2027/world-ranking
https://www.nuc.edu.ng/es-inaugurates-nuc-advisory-committee-on-varsities-ranking/</t>
        </is>
      </c>
      <c r="P840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41">
      <c r="A841" s="3" t="inlineStr">
        <is>
          <t>Nigeria|University of Lagos</t>
        </is>
      </c>
      <c r="B841" s="3" t="inlineStr">
        <is>
          <t>Nigeria</t>
        </is>
      </c>
      <c r="C841" s="3" t="inlineStr">
        <is>
          <t>Лагос</t>
        </is>
      </c>
      <c r="D841" s="3" t="inlineStr">
        <is>
          <t>University of Lagos</t>
        </is>
      </c>
      <c r="E841" s="3" t="inlineStr">
        <is>
          <t>University of Lagos</t>
        </is>
      </c>
      <c r="F841" s="3" t="inlineStr">
        <is>
          <t>https://unilag.edu.ng</t>
        </is>
      </c>
      <c r="G841" s="3" t="inlineStr">
        <is>
          <t>QS2027: 1001–1200</t>
        </is>
      </c>
      <c r="H841" s="3" t="inlineStr">
        <is>
          <t>THE2027: 801–1000</t>
        </is>
      </c>
      <c r="I841" s="3" t="inlineStr"/>
      <c r="J841" s="4" t="inlineStr">
        <is>
          <t>1001–1200</t>
        </is>
      </c>
      <c r="K841" s="4" t="inlineStr">
        <is>
          <t>801–1000</t>
        </is>
      </c>
      <c r="L841" s="4" t="inlineStr">
        <is>
          <t>1496</t>
        </is>
      </c>
      <c r="M841" s="4" t="inlineStr">
        <is>
          <t>нет общенационального рейтинга</t>
        </is>
      </c>
      <c r="N841" s="4" t="inlineStr">
        <is>
          <t>—</t>
        </is>
      </c>
      <c r="O84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41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42">
      <c r="A842" s="3" t="inlineStr">
        <is>
          <t>Nigeria|University of Nigeria, Nsukka</t>
        </is>
      </c>
      <c r="B842" s="3" t="inlineStr">
        <is>
          <t>Nigeria</t>
        </is>
      </c>
      <c r="C842" s="3" t="inlineStr">
        <is>
          <t>Нсукка</t>
        </is>
      </c>
      <c r="D842" s="3" t="inlineStr">
        <is>
          <t>University of Nigeria, Nsukka</t>
        </is>
      </c>
      <c r="E842" s="3" t="inlineStr">
        <is>
          <t>University of Nigeria, Nsukka</t>
        </is>
      </c>
      <c r="F842" s="3" t="inlineStr">
        <is>
          <t>https://www.unn.edu.ng</t>
        </is>
      </c>
      <c r="G842" s="3" t="inlineStr"/>
      <c r="H842" s="3" t="inlineStr">
        <is>
          <t>THE2027: 1201–1400</t>
        </is>
      </c>
      <c r="I842" s="3" t="inlineStr"/>
      <c r="J842" s="4" t="inlineStr">
        <is>
          <t>1201–1400</t>
        </is>
      </c>
      <c r="K842" s="4" t="inlineStr">
        <is>
          <t>1201–1400</t>
        </is>
      </c>
      <c r="L842" s="4" t="inlineStr">
        <is>
          <t>1410</t>
        </is>
      </c>
      <c r="M842" s="4" t="inlineStr">
        <is>
          <t>нет общенационального рейтинга</t>
        </is>
      </c>
      <c r="N842" s="4" t="inlineStr">
        <is>
          <t>—</t>
        </is>
      </c>
      <c r="O84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42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43">
      <c r="A843" s="3" t="inlineStr">
        <is>
          <t>Nigeria|University of Port Harcourt</t>
        </is>
      </c>
      <c r="B843" s="3" t="inlineStr">
        <is>
          <t>Nigeria</t>
        </is>
      </c>
      <c r="C843" s="3" t="inlineStr">
        <is>
          <t>Порт-Харкорт</t>
        </is>
      </c>
      <c r="D843" s="3" t="inlineStr">
        <is>
          <t>University of Port Harcourt</t>
        </is>
      </c>
      <c r="E843" s="3" t="inlineStr">
        <is>
          <t>University of Port Harcourt (UNIPORT)</t>
        </is>
      </c>
      <c r="F843" s="3" t="inlineStr">
        <is>
          <t>https://www.uniport.edu.ng</t>
        </is>
      </c>
      <c r="G843" s="3" t="inlineStr"/>
      <c r="H843" s="3" t="inlineStr">
        <is>
          <t>THE2027: 2001+</t>
        </is>
      </c>
      <c r="I843" s="3" t="inlineStr"/>
      <c r="J843" s="4" t="inlineStr">
        <is>
          <t>не в рейтинге</t>
        </is>
      </c>
      <c r="K843" s="4" t="inlineStr">
        <is>
          <t>2001+</t>
        </is>
      </c>
      <c r="L843" s="4" t="inlineStr">
        <is>
          <t>2307</t>
        </is>
      </c>
      <c r="M843" s="4" t="inlineStr">
        <is>
          <t>нет общенационального рейтинга</t>
        </is>
      </c>
      <c r="N843" s="4" t="inlineStr">
        <is>
          <t>—</t>
        </is>
      </c>
      <c r="O843" s="4" t="inlineStr">
        <is>
          <t>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P843" s="4" t="inlineStr">
        <is>
          <t>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выпускал.</t>
        </is>
      </c>
    </row>
    <row r="844">
      <c r="A844" s="3" t="inlineStr">
        <is>
          <t>Russia|Academy of Water Transport of the Russian University of Transport (RUT MIIT), formerly Moscow State Academy of Water Transport</t>
        </is>
      </c>
      <c r="B844" s="3" t="inlineStr">
        <is>
          <t>Russia</t>
        </is>
      </c>
      <c r="C844" s="3" t="inlineStr">
        <is>
          <t>Москва</t>
        </is>
      </c>
      <c r="D844" s="3" t="inlineStr">
        <is>
          <t>Academy of Water Transport of the Russian University of Transport (RUT MIIT), formerly Moscow State Academy of Water Transport</t>
        </is>
      </c>
      <c r="E844" s="3" t="inlineStr">
        <is>
          <t>Академия водного транспорта Российского университета транспорта (РУТ (МИИТ)), ранее Московская государственная академия водного транспорта (МГАВТ)</t>
        </is>
      </c>
      <c r="F844" s="3" t="inlineStr">
        <is>
          <t>https://awt-rut.ru</t>
        </is>
      </c>
      <c r="G844" s="3" t="inlineStr"/>
      <c r="H844" s="3" t="inlineStr"/>
      <c r="I844" s="3" t="inlineStr"/>
      <c r="J844" s="4" t="inlineStr">
        <is>
          <t>не в рейтинге</t>
        </is>
      </c>
      <c r="K844" s="4" t="inlineStr">
        <is>
          <t>не в рейтинге</t>
        </is>
      </c>
      <c r="L844" s="4" t="inlineStr">
        <is>
          <t>нет в опубл. списке (опубликован только топ-15 страны)</t>
        </is>
      </c>
      <c r="M844" s="4" t="inlineStr">
        <is>
          <t>RAEX-100 2026; МосМУР «Три миссии» 2025</t>
        </is>
      </c>
      <c r="N844" s="4" t="inlineStr">
        <is>
          <t>не в рейтинге</t>
        </is>
      </c>
      <c r="O844" s="4" t="inlineStr">
        <is>
          <t>https://raex-rr.com/education/russian_universities/top-100_universities/2026/ ; https://mosiur.org/ranking/</t>
        </is>
      </c>
      <c r="P844" s="4" t="inlineStr">
        <is>
          <t>Структурное подразделение РУТ (МИИТ); рейтинги ранжируют РУТ (МИИТ) целиком (RAEX-100 2026: 75)</t>
        </is>
      </c>
    </row>
    <row r="845">
      <c r="A845" s="3" t="inlineStr">
        <is>
          <t>Russia|Admiral Makarov State University of Maritime and Inland Shipping</t>
        </is>
      </c>
      <c r="B845" s="3" t="inlineStr">
        <is>
          <t>Russia</t>
        </is>
      </c>
      <c r="C845" s="3" t="inlineStr">
        <is>
          <t>Санкт-Петербург</t>
        </is>
      </c>
      <c r="D845" s="3" t="inlineStr">
        <is>
          <t>Admiral Makarov State University of Maritime and Inland Shipping</t>
        </is>
      </c>
      <c r="E845" s="3" t="inlineStr">
        <is>
          <t>Государственный университет морского и речного флота имени адмирала С.О. Макарова</t>
        </is>
      </c>
      <c r="F845" s="3" t="inlineStr">
        <is>
          <t>https://gumrf.ru</t>
        </is>
      </c>
      <c r="G845" s="3" t="inlineStr"/>
      <c r="H845" s="3" t="inlineStr"/>
      <c r="I845" s="3" t="inlineStr"/>
      <c r="J845" s="4" t="inlineStr">
        <is>
          <t>не в рейтинге</t>
        </is>
      </c>
      <c r="K845" s="4" t="inlineStr">
        <is>
          <t>не в рейтинге</t>
        </is>
      </c>
      <c r="L845" s="4" t="inlineStr">
        <is>
          <t>нет в опубл. списке (опубликован только топ-15 страны)</t>
        </is>
      </c>
      <c r="M845" s="4" t="inlineStr">
        <is>
          <t>RAEX-100 2026; МосМУР «Три миссии» 2025</t>
        </is>
      </c>
      <c r="N845" s="4" t="inlineStr">
        <is>
          <t>не в рейтинге</t>
        </is>
      </c>
      <c r="O845" s="4" t="inlineStr">
        <is>
          <t>https://raex-rr.com/education/russian_universities/top-100_universities/2026/ ; https://mosiur.org/ranking/</t>
        </is>
      </c>
      <c r="P845" s="4" t="n"/>
    </row>
    <row r="846">
      <c r="A846" s="3" t="inlineStr">
        <is>
          <t>Russia|Adyghe State University (ASU)</t>
        </is>
      </c>
      <c r="B846" s="3" t="inlineStr">
        <is>
          <t>Russia</t>
        </is>
      </c>
      <c r="C846" s="3" t="inlineStr">
        <is>
          <t>Майкоп</t>
        </is>
      </c>
      <c r="D846" s="3" t="inlineStr">
        <is>
          <t>Adyghe State University (ASU)</t>
        </is>
      </c>
      <c r="E846" s="3" t="inlineStr">
        <is>
          <t>Адыгейский государственный университет</t>
        </is>
      </c>
      <c r="F846" s="3" t="inlineStr">
        <is>
          <t>https://adygnet.ru</t>
        </is>
      </c>
      <c r="G846" s="3" t="inlineStr"/>
      <c r="H846" s="3" t="inlineStr"/>
      <c r="I846" s="3" t="inlineStr"/>
      <c r="J846" s="4" t="inlineStr">
        <is>
          <t>не в рейтинге</t>
        </is>
      </c>
      <c r="K846" s="4" t="inlineStr">
        <is>
          <t>не в рейтинге</t>
        </is>
      </c>
      <c r="L846" s="4" t="inlineStr">
        <is>
          <t>нет в опубл. списке (опубликован только топ-15 страны)</t>
        </is>
      </c>
      <c r="M846" s="4" t="inlineStr">
        <is>
          <t>RAEX-100 2026; МосМУР «Три миссии» 2025</t>
        </is>
      </c>
      <c r="N846" s="4" t="inlineStr">
        <is>
          <t>не в рейтинге</t>
        </is>
      </c>
      <c r="O846" s="4" t="inlineStr">
        <is>
          <t>https://raex-rr.com/education/russian_universities/top-100_universities/2026/ ; https://mosiur.org/ranking/</t>
        </is>
      </c>
      <c r="P846" s="4" t="n"/>
    </row>
    <row r="847">
      <c r="A847" s="3" t="inlineStr">
        <is>
          <t>Russia|Almetyevsk State Technological University "Petroleum Higher School"</t>
        </is>
      </c>
      <c r="B847" s="3" t="inlineStr">
        <is>
          <t>Russia</t>
        </is>
      </c>
      <c r="C847" s="3" t="inlineStr">
        <is>
          <t>Альметьевск</t>
        </is>
      </c>
      <c r="D847" s="3" t="inlineStr">
        <is>
          <t>Almetyevsk State Technological University "Petroleum Higher School"</t>
        </is>
      </c>
      <c r="E847" s="3" t="inlineStr">
        <is>
          <t>Альметьевский государственный технологический университет «Высшая школа нефти» (АГТУ ВШН)</t>
        </is>
      </c>
      <c r="F847" s="3" t="inlineStr">
        <is>
          <t>https://agni-rt.ru</t>
        </is>
      </c>
      <c r="G847" s="3" t="inlineStr"/>
      <c r="H847" s="3" t="inlineStr">
        <is>
          <t>THE2027 Reporter (unranked)</t>
        </is>
      </c>
      <c r="I847" s="3" t="inlineStr"/>
      <c r="J847" s="4" t="inlineStr">
        <is>
          <t>не в рейтинге</t>
        </is>
      </c>
      <c r="K847" s="4" t="inlineStr">
        <is>
          <t>Reporter</t>
        </is>
      </c>
      <c r="L847" s="4" t="inlineStr">
        <is>
          <t>нет в опубл. списке (опубликован только топ-15 страны)</t>
        </is>
      </c>
      <c r="M847" s="4" t="inlineStr">
        <is>
          <t>МосМУР «Три миссии университета» 2025 (мировой, место в мире)</t>
        </is>
      </c>
      <c r="N847" s="4" t="inlineStr">
        <is>
          <t>1751–2000</t>
        </is>
      </c>
      <c r="O847" s="4" t="inlineStr">
        <is>
          <t>https://www.timeshighereducation.com/world-university-rankings/2027/world-ranking
https://mosiur.org/ranking/</t>
        </is>
      </c>
      <c r="P847" s="4" t="inlineStr">
        <is>
          <t>THE: в таблице как «Petroleum Higher School»; в RAEX-100 2026 отсутствует</t>
        </is>
      </c>
    </row>
    <row r="848">
      <c r="A848" s="3" t="inlineStr">
        <is>
          <t>Russia|Altai State Agricultural University</t>
        </is>
      </c>
      <c r="B848" s="3" t="inlineStr">
        <is>
          <t>Russia</t>
        </is>
      </c>
      <c r="C848" s="3" t="inlineStr">
        <is>
          <t>Барнаул</t>
        </is>
      </c>
      <c r="D848" s="3" t="inlineStr">
        <is>
          <t>Altai State Agricultural University</t>
        </is>
      </c>
      <c r="E848" s="3" t="inlineStr">
        <is>
          <t>Алтайский государственный аграрный университет</t>
        </is>
      </c>
      <c r="F848" s="3" t="inlineStr">
        <is>
          <t>https://www.asau.ru</t>
        </is>
      </c>
      <c r="G848" s="3" t="inlineStr"/>
      <c r="H848" s="3" t="inlineStr"/>
      <c r="I848" s="3" t="inlineStr"/>
      <c r="J848" s="4" t="inlineStr">
        <is>
          <t>не в рейтинге</t>
        </is>
      </c>
      <c r="K848" s="4" t="inlineStr">
        <is>
          <t>не в рейтинге</t>
        </is>
      </c>
      <c r="L848" s="4" t="inlineStr">
        <is>
          <t>нет в опубл. списке (опубликован только топ-15 страны)</t>
        </is>
      </c>
      <c r="M848" s="4" t="inlineStr">
        <is>
          <t>RAEX-100 2026; МосМУР «Три миссии» 2025</t>
        </is>
      </c>
      <c r="N848" s="4" t="inlineStr">
        <is>
          <t>не в рейтинге</t>
        </is>
      </c>
      <c r="O848" s="4" t="inlineStr">
        <is>
          <t>https://raex-rr.com/education/russian_universities/top-100_universities/2026/ ; https://mosiur.org/ranking/</t>
        </is>
      </c>
      <c r="P848" s="4" t="n"/>
    </row>
    <row r="849">
      <c r="A849" s="3" t="inlineStr">
        <is>
          <t>Russia|Altai State University (AltSU)</t>
        </is>
      </c>
      <c r="B849" s="3" t="inlineStr">
        <is>
          <t>Russia</t>
        </is>
      </c>
      <c r="C849" s="3" t="inlineStr">
        <is>
          <t>Барнаул</t>
        </is>
      </c>
      <c r="D849" s="3" t="inlineStr">
        <is>
          <t>Altai State University (AltSU)</t>
        </is>
      </c>
      <c r="E849" s="3" t="inlineStr">
        <is>
          <t>Алтайский государственный университет (АлтГУ)</t>
        </is>
      </c>
      <c r="F849" s="3" t="inlineStr">
        <is>
          <t>https://www.asu.ru</t>
        </is>
      </c>
      <c r="G849" s="3" t="inlineStr">
        <is>
          <t>QS2027: 901-950</t>
        </is>
      </c>
      <c r="H849" s="3" t="inlineStr">
        <is>
          <t>THE2027: 1801–2000</t>
        </is>
      </c>
      <c r="I849" s="3" t="inlineStr">
        <is>
          <t>RAEX2026: 78</t>
        </is>
      </c>
      <c r="J849" s="4" t="inlineStr">
        <is>
          <t>901–950</t>
        </is>
      </c>
      <c r="K849" s="4" t="inlineStr">
        <is>
          <t>1801–2000</t>
        </is>
      </c>
      <c r="L849" s="4" t="inlineStr">
        <is>
          <t>нет в опубл. списке (опубликован только топ-15 страны)</t>
        </is>
      </c>
      <c r="M849" s="4" t="inlineStr">
        <is>
          <t>RAEX-100 2026</t>
        </is>
      </c>
      <c r="N849" s="4" t="inlineStr">
        <is>
          <t>78</t>
        </is>
      </c>
      <c r="O849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849" s="4" t="n"/>
    </row>
    <row r="850">
      <c r="A850" s="3" t="inlineStr">
        <is>
          <t>Russia|Amur State University</t>
        </is>
      </c>
      <c r="B850" s="3" t="inlineStr">
        <is>
          <t>Russia</t>
        </is>
      </c>
      <c r="C850" s="3" t="inlineStr">
        <is>
          <t>Благовещенск</t>
        </is>
      </c>
      <c r="D850" s="3" t="inlineStr">
        <is>
          <t>Amur State University</t>
        </is>
      </c>
      <c r="E850" s="3" t="inlineStr">
        <is>
          <t>Амурский государственный университет</t>
        </is>
      </c>
      <c r="F850" s="3" t="inlineStr">
        <is>
          <t>https://www.amursu.ru</t>
        </is>
      </c>
      <c r="G850" s="3" t="inlineStr"/>
      <c r="H850" s="3" t="inlineStr"/>
      <c r="I850" s="3" t="inlineStr"/>
      <c r="J850" s="4" t="inlineStr">
        <is>
          <t>не в рейтинге</t>
        </is>
      </c>
      <c r="K850" s="4" t="inlineStr">
        <is>
          <t>не в рейтинге</t>
        </is>
      </c>
      <c r="L850" s="4" t="inlineStr">
        <is>
          <t>нет в опубл. списке (опубликован только топ-15 страны)</t>
        </is>
      </c>
      <c r="M850" s="4" t="inlineStr">
        <is>
          <t>RAEX-100 2026; МосМУР «Три миссии» 2025</t>
        </is>
      </c>
      <c r="N850" s="4" t="inlineStr">
        <is>
          <t>не в рейтинге</t>
        </is>
      </c>
      <c r="O850" s="4" t="inlineStr">
        <is>
          <t>https://raex-rr.com/education/russian_universities/top-100_universities/2026/ ; https://mosiur.org/ranking/</t>
        </is>
      </c>
      <c r="P850" s="4" t="n"/>
    </row>
    <row r="851">
      <c r="A851" s="3" t="inlineStr">
        <is>
          <t>Russia|Arctic State Agrotechnological University (Arctic SATU)</t>
        </is>
      </c>
      <c r="B851" s="3" t="inlineStr">
        <is>
          <t>Russia</t>
        </is>
      </c>
      <c r="C851" s="3" t="inlineStr">
        <is>
          <t>Якутск</t>
        </is>
      </c>
      <c r="D851" s="3" t="inlineStr">
        <is>
          <t>Arctic State Agrotechnological University (Arctic SATU)</t>
        </is>
      </c>
      <c r="E851" s="3" t="inlineStr">
        <is>
          <t>Арктический государственный агротехнологический университет (Арктический ГАТУ)</t>
        </is>
      </c>
      <c r="F851" s="3" t="inlineStr">
        <is>
          <t>https://agatu.ru</t>
        </is>
      </c>
      <c r="G851" s="3" t="inlineStr"/>
      <c r="H851" s="3" t="inlineStr"/>
      <c r="I851" s="3" t="inlineStr"/>
      <c r="J851" s="4" t="inlineStr">
        <is>
          <t>не в рейтинге</t>
        </is>
      </c>
      <c r="K851" s="4" t="inlineStr">
        <is>
          <t>не в рейтинге</t>
        </is>
      </c>
      <c r="L851" s="4" t="inlineStr">
        <is>
          <t>нет в опубл. списке (опубликован только топ-15 страны)</t>
        </is>
      </c>
      <c r="M851" s="4" t="inlineStr">
        <is>
          <t>RAEX-100 2026; МосМУР «Три миссии» 2025</t>
        </is>
      </c>
      <c r="N851" s="4" t="inlineStr">
        <is>
          <t>не в рейтинге</t>
        </is>
      </c>
      <c r="O851" s="4" t="inlineStr">
        <is>
          <t>https://raex-rr.com/education/russian_universities/top-100_universities/2026/ ; https://mosiur.org/ranking/</t>
        </is>
      </c>
      <c r="P851" s="4" t="n"/>
    </row>
    <row r="852">
      <c r="A852" s="3" t="inlineStr">
        <is>
          <t>Russia|Astrakhan State Technical University (ASTU)</t>
        </is>
      </c>
      <c r="B852" s="3" t="inlineStr">
        <is>
          <t>Russia</t>
        </is>
      </c>
      <c r="C852" s="3" t="inlineStr">
        <is>
          <t>Астрахань</t>
        </is>
      </c>
      <c r="D852" s="3" t="inlineStr">
        <is>
          <t>Astrakhan State Technical University (ASTU)</t>
        </is>
      </c>
      <c r="E852" s="3" t="inlineStr">
        <is>
          <t>Астраханский государственный технический университет (АГТУ)</t>
        </is>
      </c>
      <c r="F852" s="3" t="inlineStr">
        <is>
          <t>https://astu.ru</t>
        </is>
      </c>
      <c r="G852" s="3" t="inlineStr"/>
      <c r="H852" s="3" t="inlineStr"/>
      <c r="I852" s="3" t="inlineStr"/>
      <c r="J852" s="4" t="inlineStr">
        <is>
          <t>не в рейтинге</t>
        </is>
      </c>
      <c r="K852" s="4" t="inlineStr">
        <is>
          <t>не в рейтинге</t>
        </is>
      </c>
      <c r="L852" s="4" t="inlineStr">
        <is>
          <t>нет в опубл. списке (опубликован только топ-15 страны)</t>
        </is>
      </c>
      <c r="M852" s="4" t="inlineStr">
        <is>
          <t>RAEX-100 2026; МосМУР «Три миссии» 2025</t>
        </is>
      </c>
      <c r="N852" s="4" t="inlineStr">
        <is>
          <t>не в рейтинге</t>
        </is>
      </c>
      <c r="O852" s="4" t="inlineStr">
        <is>
          <t>https://raex-rr.com/education/russian_universities/top-100_universities/2026/ ; https://mosiur.org/ranking/</t>
        </is>
      </c>
      <c r="P852" s="4" t="n"/>
    </row>
    <row r="853">
      <c r="A853" s="3" t="inlineStr">
        <is>
          <t>Russia|Astrakhan Tatishchev State University (ASU)</t>
        </is>
      </c>
      <c r="B853" s="3" t="inlineStr">
        <is>
          <t>Russia</t>
        </is>
      </c>
      <c r="C853" s="3" t="inlineStr">
        <is>
          <t>Астрахань</t>
        </is>
      </c>
      <c r="D853" s="3" t="inlineStr">
        <is>
          <t>Astrakhan Tatishchev State University (ASU)</t>
        </is>
      </c>
      <c r="E853" s="3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 имени В. Н. Татищева» (АГУ)</t>
        </is>
      </c>
      <c r="F853" s="3" t="inlineStr">
        <is>
          <t>https://asu-edu.ru</t>
        </is>
      </c>
      <c r="G853" s="3" t="inlineStr"/>
      <c r="H853" s="3" t="inlineStr"/>
      <c r="I853" s="3" t="inlineStr"/>
      <c r="J853" s="4" t="inlineStr">
        <is>
          <t>не в рейтинге</t>
        </is>
      </c>
      <c r="K853" s="4" t="inlineStr">
        <is>
          <t>не в рейтинге</t>
        </is>
      </c>
      <c r="L853" s="4" t="inlineStr">
        <is>
          <t>нет в опубл. списке (опубликован только топ-15 страны)</t>
        </is>
      </c>
      <c r="M853" s="4" t="inlineStr">
        <is>
          <t>МосМУР «Три миссии университета» 2025 (мировой, место в мире)</t>
        </is>
      </c>
      <c r="N853" s="4" t="inlineStr">
        <is>
          <t>1501–1750</t>
        </is>
      </c>
      <c r="O853" s="4" t="inlineStr">
        <is>
          <t>https://mosiur.org/ranking/</t>
        </is>
      </c>
      <c r="P853" s="4" t="inlineStr">
        <is>
          <t>в RAEX-100 2026 отсутствует</t>
        </is>
      </c>
    </row>
    <row r="854">
      <c r="A854" s="3" t="inlineStr">
        <is>
          <t>Russia|Baltic State Technical University VOENMEH</t>
        </is>
      </c>
      <c r="B854" s="3" t="inlineStr">
        <is>
          <t>Russia</t>
        </is>
      </c>
      <c r="C854" s="3" t="inlineStr">
        <is>
          <t>Санкт-Петербург</t>
        </is>
      </c>
      <c r="D854" s="3" t="inlineStr">
        <is>
          <t>Baltic State Technical University VOENMEH</t>
        </is>
      </c>
      <c r="E854" s="3" t="inlineStr">
        <is>
          <t>Балтийский государственный технический университет «ВОЕНМЕХ» им. Д.Ф. Устинова</t>
        </is>
      </c>
      <c r="F854" s="3" t="inlineStr">
        <is>
          <t>https://voenmeh.ru</t>
        </is>
      </c>
      <c r="G854" s="3" t="inlineStr"/>
      <c r="H854" s="3" t="inlineStr"/>
      <c r="I854" s="3" t="inlineStr"/>
      <c r="J854" s="4" t="inlineStr">
        <is>
          <t>не в рейтинге</t>
        </is>
      </c>
      <c r="K854" s="4" t="inlineStr">
        <is>
          <t>не в рейтинге</t>
        </is>
      </c>
      <c r="L854" s="4" t="inlineStr">
        <is>
          <t>нет в опубл. списке (опубликован только топ-15 страны)</t>
        </is>
      </c>
      <c r="M854" s="4" t="inlineStr">
        <is>
          <t>RAEX-100 2026; МосМУР «Три миссии» 2025</t>
        </is>
      </c>
      <c r="N854" s="4" t="inlineStr">
        <is>
          <t>не в рейтинге</t>
        </is>
      </c>
      <c r="O854" s="4" t="inlineStr">
        <is>
          <t>https://raex-rr.com/education/russian_universities/top-100_universities/2026/ ; https://mosiur.org/ranking/</t>
        </is>
      </c>
      <c r="P854" s="4" t="n"/>
    </row>
    <row r="855">
      <c r="A855" s="3" t="inlineStr">
        <is>
          <t>Russia|Bashkir State Agrarian University (BSAU)</t>
        </is>
      </c>
      <c r="B855" s="3" t="inlineStr">
        <is>
          <t>Russia</t>
        </is>
      </c>
      <c r="C855" s="3" t="inlineStr">
        <is>
          <t>Уфа</t>
        </is>
      </c>
      <c r="D855" s="3" t="inlineStr">
        <is>
          <t>Bashkir State Agrarian University (BSAU)</t>
        </is>
      </c>
      <c r="E855" s="3" t="inlineStr">
        <is>
          <t>Башкирский государственный аграрный университет (Башкирский ГАУ)</t>
        </is>
      </c>
      <c r="F855" s="3" t="inlineStr">
        <is>
          <t>https://www.bsau.ru</t>
        </is>
      </c>
      <c r="G855" s="3" t="inlineStr"/>
      <c r="H855" s="3" t="inlineStr"/>
      <c r="I855" s="3" t="inlineStr"/>
      <c r="J855" s="4" t="inlineStr">
        <is>
          <t>не в рейтинге</t>
        </is>
      </c>
      <c r="K855" s="4" t="inlineStr">
        <is>
          <t>не в рейтинге</t>
        </is>
      </c>
      <c r="L855" s="4" t="inlineStr">
        <is>
          <t>нет в опубл. списке (опубликован только топ-15 страны)</t>
        </is>
      </c>
      <c r="M855" s="4" t="inlineStr">
        <is>
          <t>RAEX-100 2026; МосМУР «Три миссии» 2025</t>
        </is>
      </c>
      <c r="N855" s="4" t="inlineStr">
        <is>
          <t>не в рейтинге</t>
        </is>
      </c>
      <c r="O855" s="4" t="inlineStr">
        <is>
          <t>https://raex-rr.com/education/russian_universities/top-100_universities/2026/ ; https://mosiur.org/ranking/</t>
        </is>
      </c>
      <c r="P855" s="4" t="n"/>
    </row>
    <row r="856">
      <c r="A856" s="3" t="inlineStr">
        <is>
          <t>Russia|Bashkir State Pedagogical University named after M. Akmulla</t>
        </is>
      </c>
      <c r="B856" s="3" t="inlineStr">
        <is>
          <t>Russia</t>
        </is>
      </c>
      <c r="C856" s="3" t="inlineStr">
        <is>
          <t>Уфа</t>
        </is>
      </c>
      <c r="D856" s="3" t="inlineStr">
        <is>
          <t>Bashkir State Pedagogical University named after M. Akmulla</t>
        </is>
      </c>
      <c r="E856" s="3" t="inlineStr">
        <is>
          <t>Башкирский государственный педагогический университет им. М. Акмуллы (БГПУ им. М. Акмуллы)</t>
        </is>
      </c>
      <c r="F856" s="3" t="inlineStr">
        <is>
          <t>https://bspu.ru</t>
        </is>
      </c>
      <c r="G856" s="3" t="inlineStr"/>
      <c r="H856" s="3" t="inlineStr"/>
      <c r="I856" s="3" t="inlineStr"/>
      <c r="J856" s="4" t="inlineStr">
        <is>
          <t>не в рейтинге</t>
        </is>
      </c>
      <c r="K856" s="4" t="inlineStr">
        <is>
          <t>не в рейтинге</t>
        </is>
      </c>
      <c r="L856" s="4" t="inlineStr">
        <is>
          <t>нет в опубл. списке (опубликован только топ-15 страны)</t>
        </is>
      </c>
      <c r="M856" s="4" t="inlineStr">
        <is>
          <t>RAEX-100 2026; МосМУР «Три миссии» 2025</t>
        </is>
      </c>
      <c r="N856" s="4" t="inlineStr">
        <is>
          <t>не в рейтинге</t>
        </is>
      </c>
      <c r="O856" s="4" t="inlineStr">
        <is>
          <t>https://raex-rr.com/education/russian_universities/top-100_universities/2026/ ; https://mosiur.org/ranking/</t>
        </is>
      </c>
      <c r="P856" s="4" t="n"/>
    </row>
    <row r="857">
      <c r="A857" s="3" t="inlineStr">
        <is>
          <t>Russia|Bauman Moscow State Technical University</t>
        </is>
      </c>
      <c r="B857" s="3" t="inlineStr">
        <is>
          <t>Russia</t>
        </is>
      </c>
      <c r="C857" s="3" t="inlineStr">
        <is>
          <t>Москва</t>
        </is>
      </c>
      <c r="D857" s="3" t="inlineStr">
        <is>
          <t>Bauman Moscow State Technical University</t>
        </is>
      </c>
      <c r="E857" s="3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857" s="3" t="inlineStr">
        <is>
          <t>https://bmstu.ru</t>
        </is>
      </c>
      <c r="G857" s="3" t="inlineStr">
        <is>
          <t>QS2027: 318</t>
        </is>
      </c>
      <c r="H857" s="3" t="inlineStr">
        <is>
          <t>THE2027: 551–600</t>
        </is>
      </c>
      <c r="I857" s="3" t="inlineStr">
        <is>
          <t>RAEX2026: 2</t>
        </is>
      </c>
      <c r="J857" s="4">
        <f>318</f>
        <v/>
      </c>
      <c r="K857" s="4" t="inlineStr">
        <is>
          <t>551–600</t>
        </is>
      </c>
      <c r="L857" s="4" t="inlineStr">
        <is>
          <t>нет в опубл. списке (опубликован только топ-15 страны)</t>
        </is>
      </c>
      <c r="M857" s="4" t="inlineStr">
        <is>
          <t>RAEX-100 2026</t>
        </is>
      </c>
      <c r="N857" s="4" t="inlineStr">
        <is>
          <t>2</t>
        </is>
      </c>
      <c r="O857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857" s="4" t="n"/>
    </row>
    <row r="858">
      <c r="A858" s="3" t="inlineStr">
        <is>
          <t>Russia|Belgorod State National Research University (BelSU)</t>
        </is>
      </c>
      <c r="B858" s="3" t="inlineStr">
        <is>
          <t>Russia</t>
        </is>
      </c>
      <c r="C858" s="3" t="inlineStr">
        <is>
          <t>Белгород</t>
        </is>
      </c>
      <c r="D858" s="3" t="inlineStr">
        <is>
          <t>Belgorod State National Research University (BelSU)</t>
        </is>
      </c>
      <c r="E858" s="3" t="inlineStr">
        <is>
          <t>Белгородский государственный национальный исследовательский университет (НИУ «БелГУ»)</t>
        </is>
      </c>
      <c r="F858" s="3" t="inlineStr">
        <is>
          <t>https://bsuedu.ru</t>
        </is>
      </c>
      <c r="G858" s="3" t="inlineStr"/>
      <c r="H858" s="3" t="inlineStr">
        <is>
          <t>THE2027: 2001+</t>
        </is>
      </c>
      <c r="I858" s="3" t="inlineStr">
        <is>
          <t>RAEX2026: 43</t>
        </is>
      </c>
      <c r="J858" s="4" t="inlineStr">
        <is>
          <t>не в рейтинге</t>
        </is>
      </c>
      <c r="K858" s="4" t="inlineStr">
        <is>
          <t>2001+</t>
        </is>
      </c>
      <c r="L858" s="4" t="inlineStr">
        <is>
          <t>нет в опубл. списке (опубликован только топ-15 страны)</t>
        </is>
      </c>
      <c r="M858" s="4" t="inlineStr">
        <is>
          <t>RAEX-100 2026</t>
        </is>
      </c>
      <c r="N858" s="4" t="inlineStr">
        <is>
          <t>43</t>
        </is>
      </c>
      <c r="O858" s="4" t="inlineStr">
        <is>
          <t>https://www.timeshighereducation.com/world-university-rankings/2027/world-ranking
https://raex-rr.com/education/russian_universities/top-100_universities/2026/</t>
        </is>
      </c>
      <c r="P858" s="4" t="n"/>
    </row>
    <row r="859">
      <c r="A859" s="3" t="inlineStr">
        <is>
          <t>Russia|Bryansk State Technical University (BSTU)</t>
        </is>
      </c>
      <c r="B859" s="3" t="inlineStr">
        <is>
          <t>Russia</t>
        </is>
      </c>
      <c r="C859" s="3" t="inlineStr">
        <is>
          <t>Брянск</t>
        </is>
      </c>
      <c r="D859" s="3" t="inlineStr">
        <is>
          <t>Bryansk State Technical University (BSTU)</t>
        </is>
      </c>
      <c r="E859" s="3" t="inlineStr">
        <is>
          <t>Брянский государственный технический университет (БГТУ)</t>
        </is>
      </c>
      <c r="F859" s="3" t="inlineStr">
        <is>
          <t>https://www.tu-bryansk.ru</t>
        </is>
      </c>
      <c r="G859" s="3" t="inlineStr"/>
      <c r="H859" s="3" t="inlineStr"/>
      <c r="I859" s="3" t="inlineStr"/>
      <c r="J859" s="4" t="inlineStr">
        <is>
          <t>не в рейтинге</t>
        </is>
      </c>
      <c r="K859" s="4" t="inlineStr">
        <is>
          <t>не в рейтинге</t>
        </is>
      </c>
      <c r="L859" s="4" t="inlineStr">
        <is>
          <t>нет в опубл. списке (опубликован только топ-15 страны)</t>
        </is>
      </c>
      <c r="M859" s="4" t="inlineStr">
        <is>
          <t>RAEX-100 2026; МосМУР «Три миссии» 2025</t>
        </is>
      </c>
      <c r="N859" s="4" t="inlineStr">
        <is>
          <t>не в рейтинге</t>
        </is>
      </c>
      <c r="O859" s="4" t="inlineStr">
        <is>
          <t>https://raex-rr.com/education/russian_universities/top-100_universities/2026/ ; https://mosiur.org/ranking/</t>
        </is>
      </c>
      <c r="P859" s="4" t="n"/>
    </row>
    <row r="860">
      <c r="A860" s="3" t="inlineStr">
        <is>
          <t>Russia|Chelyabinsk State University</t>
        </is>
      </c>
      <c r="B860" s="3" t="inlineStr">
        <is>
          <t>Russia</t>
        </is>
      </c>
      <c r="C860" s="3" t="inlineStr">
        <is>
          <t>Челябинск</t>
        </is>
      </c>
      <c r="D860" s="3" t="inlineStr">
        <is>
          <t>Chelyabinsk State University</t>
        </is>
      </c>
      <c r="E860" s="3" t="inlineStr">
        <is>
          <t>Челябинский государственный университет</t>
        </is>
      </c>
      <c r="F860" s="3" t="inlineStr">
        <is>
          <t>https://www.csu.ru</t>
        </is>
      </c>
      <c r="G860" s="3" t="inlineStr"/>
      <c r="H860" s="3" t="inlineStr">
        <is>
          <t>THE2027: 2001+</t>
        </is>
      </c>
      <c r="I860" s="3" t="inlineStr"/>
      <c r="J860" s="4" t="inlineStr">
        <is>
          <t>не в рейтинге</t>
        </is>
      </c>
      <c r="K860" s="4" t="inlineStr">
        <is>
          <t>2001+</t>
        </is>
      </c>
      <c r="L860" s="4" t="inlineStr">
        <is>
          <t>нет в опубл. списке (опубликован только топ-15 страны)</t>
        </is>
      </c>
      <c r="M860" s="4" t="inlineStr">
        <is>
          <t>RAEX-100 2026; МосМУР «Три миссии» 2025</t>
        </is>
      </c>
      <c r="N860" s="4" t="inlineStr">
        <is>
          <t>не в рейтинге</t>
        </is>
      </c>
      <c r="O860" s="4" t="inlineStr">
        <is>
          <t>https://www.timeshighereducation.com/world-university-rankings/2027/world-ranking
https://raex-rr.com/education/russian_universities/top-100_universities/2026/ ; https://mosiur.org/ranking/</t>
        </is>
      </c>
      <c r="P860" s="4" t="n"/>
    </row>
    <row r="861">
      <c r="A861" s="3" t="inlineStr">
        <is>
          <t>Russia|Dagestan State University</t>
        </is>
      </c>
      <c r="B861" s="3" t="inlineStr">
        <is>
          <t>Russia</t>
        </is>
      </c>
      <c r="C861" s="3" t="inlineStr">
        <is>
          <t>Махачкала</t>
        </is>
      </c>
      <c r="D861" s="3" t="inlineStr">
        <is>
          <t>Dagestan State University</t>
        </is>
      </c>
      <c r="E861" s="3" t="inlineStr">
        <is>
          <t>Дагестанский государственный университет</t>
        </is>
      </c>
      <c r="F861" s="3" t="inlineStr">
        <is>
          <t>https://dgu.ru</t>
        </is>
      </c>
      <c r="G861" s="3" t="inlineStr"/>
      <c r="H861" s="3" t="inlineStr"/>
      <c r="I861" s="3" t="inlineStr"/>
      <c r="J861" s="4" t="inlineStr">
        <is>
          <t>не в рейтинге</t>
        </is>
      </c>
      <c r="K861" s="4" t="inlineStr">
        <is>
          <t>не в рейтинге</t>
        </is>
      </c>
      <c r="L861" s="4" t="inlineStr">
        <is>
          <t>нет в опубл. списке (опубликован только топ-15 страны)</t>
        </is>
      </c>
      <c r="M861" s="4" t="inlineStr">
        <is>
          <t>RAEX-100 2026; МосМУР «Три миссии» 2025</t>
        </is>
      </c>
      <c r="N861" s="4" t="inlineStr">
        <is>
          <t>не в рейтинге</t>
        </is>
      </c>
      <c r="O861" s="4" t="inlineStr">
        <is>
          <t>https://raex-rr.com/education/russian_universities/top-100_universities/2026/ ; https://mosiur.org/ranking/</t>
        </is>
      </c>
      <c r="P861" s="4" t="n"/>
    </row>
    <row r="862">
      <c r="A862" s="3" t="inlineStr">
        <is>
          <t>Russia|Derzhavin Tambov State University</t>
        </is>
      </c>
      <c r="B862" s="3" t="inlineStr">
        <is>
          <t>Russia</t>
        </is>
      </c>
      <c r="C862" s="3" t="inlineStr">
        <is>
          <t>Тамбов</t>
        </is>
      </c>
      <c r="D862" s="3" t="inlineStr">
        <is>
          <t>Derzhavin Tambov State University</t>
        </is>
      </c>
      <c r="E862" s="3" t="inlineStr">
        <is>
          <t>Тамбовский государственный университет имени Г.Р. Державина</t>
        </is>
      </c>
      <c r="F862" s="3" t="inlineStr">
        <is>
          <t>https://www.tsutmb.ru</t>
        </is>
      </c>
      <c r="G862" s="3" t="inlineStr"/>
      <c r="H862" s="3" t="inlineStr"/>
      <c r="I862" s="3" t="inlineStr">
        <is>
          <t>RAEX2026: 79</t>
        </is>
      </c>
      <c r="J862" s="4" t="inlineStr">
        <is>
          <t>не в рейтинге</t>
        </is>
      </c>
      <c r="K862" s="4" t="inlineStr">
        <is>
          <t>не в рейтинге</t>
        </is>
      </c>
      <c r="L862" s="4" t="inlineStr">
        <is>
          <t>нет в опубл. списке (опубликован только топ-15 страны)</t>
        </is>
      </c>
      <c r="M862" s="4" t="inlineStr">
        <is>
          <t>RAEX-100 2026</t>
        </is>
      </c>
      <c r="N862" s="4" t="inlineStr">
        <is>
          <t>79</t>
        </is>
      </c>
      <c r="O862" s="4" t="inlineStr">
        <is>
          <t>https://raex-rr.com/education/russian_universities/top-100_universities/2026/</t>
        </is>
      </c>
      <c r="P862" s="4" t="n"/>
    </row>
    <row r="863">
      <c r="A863" s="3" t="inlineStr">
        <is>
          <t>Russia|Don State Technical University (DSTU)</t>
        </is>
      </c>
      <c r="B863" s="3" t="inlineStr">
        <is>
          <t>Russia</t>
        </is>
      </c>
      <c r="C863" s="3" t="inlineStr">
        <is>
          <t>Ростов-на-Дону</t>
        </is>
      </c>
      <c r="D863" s="3" t="inlineStr">
        <is>
          <t>Don State Technical University (DSTU)</t>
        </is>
      </c>
      <c r="E863" s="3" t="inlineStr">
        <is>
          <t>Донской государственный технический университет</t>
        </is>
      </c>
      <c r="F863" s="3" t="inlineStr">
        <is>
          <t>https://donstu.ru</t>
        </is>
      </c>
      <c r="G863" s="3" t="inlineStr"/>
      <c r="H863" s="3" t="inlineStr">
        <is>
          <t>THE2027: 2001+</t>
        </is>
      </c>
      <c r="I863" s="3" t="inlineStr">
        <is>
          <t>RAEX2026: 59</t>
        </is>
      </c>
      <c r="J863" s="4" t="inlineStr">
        <is>
          <t>не в рейтинге</t>
        </is>
      </c>
      <c r="K863" s="4" t="inlineStr">
        <is>
          <t>2001+</t>
        </is>
      </c>
      <c r="L863" s="4" t="inlineStr">
        <is>
          <t>нет в опубл. списке (опубликован только топ-15 страны)</t>
        </is>
      </c>
      <c r="M863" s="4" t="inlineStr">
        <is>
          <t>RAEX-100 2026</t>
        </is>
      </c>
      <c r="N863" s="4" t="inlineStr">
        <is>
          <t>59</t>
        </is>
      </c>
      <c r="O863" s="4" t="inlineStr">
        <is>
          <t>https://www.timeshighereducation.com/world-university-rankings/2027/world-ranking
https://raex-rr.com/education/russian_universities/top-100_universities/2026/</t>
        </is>
      </c>
      <c r="P863" s="4" t="n"/>
    </row>
    <row r="864">
      <c r="A864" s="3" t="inlineStr">
        <is>
          <t>Russia|Dorzhi Banzarov Buryat State University</t>
        </is>
      </c>
      <c r="B864" s="3" t="inlineStr">
        <is>
          <t>Russia</t>
        </is>
      </c>
      <c r="C864" s="3" t="inlineStr">
        <is>
          <t>Улан-Удэ</t>
        </is>
      </c>
      <c r="D864" s="3" t="inlineStr">
        <is>
          <t>Dorzhi Banzarov Buryat State University</t>
        </is>
      </c>
      <c r="E864" s="3" t="inlineStr">
        <is>
          <t>Бурятский государственный университет имени Доржи Банзарова</t>
        </is>
      </c>
      <c r="F864" s="3" t="inlineStr">
        <is>
          <t>https://www.bsu.ru</t>
        </is>
      </c>
      <c r="G864" s="3" t="inlineStr"/>
      <c r="H864" s="3" t="inlineStr"/>
      <c r="I864" s="3" t="inlineStr"/>
      <c r="J864" s="4" t="inlineStr">
        <is>
          <t>не в рейтинге</t>
        </is>
      </c>
      <c r="K864" s="4" t="inlineStr">
        <is>
          <t>не в рейтинге</t>
        </is>
      </c>
      <c r="L864" s="4" t="inlineStr">
        <is>
          <t>нет в опубл. списке (опубликован только топ-15 страны)</t>
        </is>
      </c>
      <c r="M864" s="4" t="inlineStr">
        <is>
          <t>RAEX-100 2026; МосМУР «Три миссии» 2025</t>
        </is>
      </c>
      <c r="N864" s="4" t="inlineStr">
        <is>
          <t>не в рейтинге</t>
        </is>
      </c>
      <c r="O864" s="4" t="inlineStr">
        <is>
          <t>https://raex-rr.com/education/russian_universities/top-100_universities/2026/ ; https://mosiur.org/ranking/</t>
        </is>
      </c>
      <c r="P864" s="4" t="n"/>
    </row>
    <row r="865">
      <c r="A865" s="3" t="inlineStr">
        <is>
          <t>Russia|Empress Catherine II Saint Petersburg Mining University</t>
        </is>
      </c>
      <c r="B865" s="3" t="inlineStr">
        <is>
          <t>Russia</t>
        </is>
      </c>
      <c r="C865" s="3" t="inlineStr">
        <is>
          <t>Санкт-Петербург</t>
        </is>
      </c>
      <c r="D865" s="3" t="inlineStr">
        <is>
          <t>Empress Catherine II Saint Petersburg Mining University</t>
        </is>
      </c>
      <c r="E865" s="3" t="inlineStr">
        <is>
          <t>Санкт-Петербургский горный университет императрицы Екатерины II</t>
        </is>
      </c>
      <c r="F865" s="3" t="inlineStr">
        <is>
          <t>https://spmi.ru</t>
        </is>
      </c>
      <c r="G865" s="3" t="inlineStr">
        <is>
          <t>QS2027: 1201-1400</t>
        </is>
      </c>
      <c r="H865" s="3" t="inlineStr">
        <is>
          <t>THE2027: 801–1000</t>
        </is>
      </c>
      <c r="I865" s="3" t="inlineStr">
        <is>
          <t>RAEX2026: 28</t>
        </is>
      </c>
      <c r="J865" s="4" t="inlineStr">
        <is>
          <t>1201–1400</t>
        </is>
      </c>
      <c r="K865" s="4" t="inlineStr">
        <is>
          <t>801–1000</t>
        </is>
      </c>
      <c r="L865" s="4" t="inlineStr">
        <is>
          <t>нет в опубл. списке (опубликован только топ-15 страны)</t>
        </is>
      </c>
      <c r="M865" s="4" t="inlineStr">
        <is>
          <t>RAEX-100 2026</t>
        </is>
      </c>
      <c r="N865" s="4" t="inlineStr">
        <is>
          <t>28</t>
        </is>
      </c>
      <c r="O865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865" s="4" t="n"/>
    </row>
    <row r="866">
      <c r="A866" s="3" t="inlineStr">
        <is>
          <t>Russia|Far Eastern Federal University</t>
        </is>
      </c>
      <c r="B866" s="3" t="inlineStr">
        <is>
          <t>Russia</t>
        </is>
      </c>
      <c r="C866" s="3" t="inlineStr">
        <is>
          <t>Владивосток</t>
        </is>
      </c>
      <c r="D866" s="3" t="inlineStr">
        <is>
          <t>Far Eastern Federal University</t>
        </is>
      </c>
      <c r="E866" s="3" t="inlineStr">
        <is>
          <t>Дальневосточный федеральный университет</t>
        </is>
      </c>
      <c r="F866" s="3" t="inlineStr">
        <is>
          <t>https://www.dvfu.ru</t>
        </is>
      </c>
      <c r="G866" s="3" t="inlineStr">
        <is>
          <t>QS2027: 741–750</t>
        </is>
      </c>
      <c r="H866" s="3" t="inlineStr">
        <is>
          <t>THE2027: 1801–2000</t>
        </is>
      </c>
      <c r="I866" s="3" t="inlineStr">
        <is>
          <t>RAEX2026: 25</t>
        </is>
      </c>
      <c r="J866" s="4" t="inlineStr">
        <is>
          <t>741–750</t>
        </is>
      </c>
      <c r="K866" s="4" t="inlineStr">
        <is>
          <t>1801–2000</t>
        </is>
      </c>
      <c r="L866" s="4" t="inlineStr">
        <is>
          <t>нет в опубл. списке (опубликован только топ-15 страны)</t>
        </is>
      </c>
      <c r="M866" s="4" t="inlineStr">
        <is>
          <t>RAEX-100 2026</t>
        </is>
      </c>
      <c r="N866" s="4" t="inlineStr">
        <is>
          <t>25</t>
        </is>
      </c>
      <c r="O866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866" s="4" t="n"/>
    </row>
    <row r="867">
      <c r="A867" s="3" t="inlineStr">
        <is>
          <t>Russia|Financial University under the Government of the Russian Federation</t>
        </is>
      </c>
      <c r="B867" s="3" t="inlineStr">
        <is>
          <t>Russia</t>
        </is>
      </c>
      <c r="C867" s="3" t="inlineStr">
        <is>
          <t>Москва</t>
        </is>
      </c>
      <c r="D867" s="3" t="inlineStr">
        <is>
          <t>Financial University under the Government of the Russian Federation</t>
        </is>
      </c>
      <c r="E867" s="3" t="inlineStr">
        <is>
          <t>Финансовый университет при Правительстве Российской Федерации (Финуниверситет)</t>
        </is>
      </c>
      <c r="F867" s="3" t="inlineStr">
        <is>
          <t>https://www.fa.ru</t>
        </is>
      </c>
      <c r="G867" s="3" t="inlineStr">
        <is>
          <t>QS2027: 1001–1200</t>
        </is>
      </c>
      <c r="H867" s="3" t="inlineStr">
        <is>
          <t>THE2027: 1401–1600</t>
        </is>
      </c>
      <c r="I867" s="3" t="inlineStr">
        <is>
          <t>RAEX2026: 10</t>
        </is>
      </c>
      <c r="J867" s="4" t="inlineStr">
        <is>
          <t>1001–1200</t>
        </is>
      </c>
      <c r="K867" s="4" t="inlineStr">
        <is>
          <t>1401–1600</t>
        </is>
      </c>
      <c r="L867" s="4" t="inlineStr">
        <is>
          <t>нет в опубл. списке (опубликован только топ-15 страны)</t>
        </is>
      </c>
      <c r="M867" s="4" t="inlineStr">
        <is>
          <t>RAEX-100 2026</t>
        </is>
      </c>
      <c r="N867" s="4" t="inlineStr">
        <is>
          <t>10</t>
        </is>
      </c>
      <c r="O867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867" s="4" t="n"/>
    </row>
    <row r="868">
      <c r="A868" s="3" t="inlineStr">
        <is>
          <t>Russia|Gorno-Altaisk State University (GASU)</t>
        </is>
      </c>
      <c r="B868" s="3" t="inlineStr">
        <is>
          <t>Russia</t>
        </is>
      </c>
      <c r="C868" s="3" t="inlineStr">
        <is>
          <t>Горно-Алтайск</t>
        </is>
      </c>
      <c r="D868" s="3" t="inlineStr">
        <is>
          <t>Gorno-Altaisk State University (GASU)</t>
        </is>
      </c>
      <c r="E868" s="3" t="inlineStr">
        <is>
          <t>Горно-Алтайский государственный университет</t>
        </is>
      </c>
      <c r="F868" s="3" t="inlineStr">
        <is>
          <t>https://www.gasu.ru</t>
        </is>
      </c>
      <c r="G868" s="3" t="inlineStr"/>
      <c r="H868" s="3" t="inlineStr"/>
      <c r="I868" s="3" t="inlineStr"/>
      <c r="J868" s="4" t="inlineStr">
        <is>
          <t>не в рейтинге</t>
        </is>
      </c>
      <c r="K868" s="4" t="inlineStr">
        <is>
          <t>не в рейтинге</t>
        </is>
      </c>
      <c r="L868" s="4" t="inlineStr">
        <is>
          <t>нет в опубл. списке (опубликован только топ-15 страны)</t>
        </is>
      </c>
      <c r="M868" s="4" t="inlineStr">
        <is>
          <t>RAEX-100 2026; МосМУР «Три миссии» 2025</t>
        </is>
      </c>
      <c r="N868" s="4" t="inlineStr">
        <is>
          <t>не в рейтинге</t>
        </is>
      </c>
      <c r="O868" s="4" t="inlineStr">
        <is>
          <t>https://raex-rr.com/education/russian_universities/top-100_universities/2026/ ; https://mosiur.org/ranking/</t>
        </is>
      </c>
      <c r="P868" s="4" t="n"/>
    </row>
    <row r="869">
      <c r="A869" s="3" t="inlineStr">
        <is>
          <t>Russia|HSE University (National Research University Higher School of Economics)</t>
        </is>
      </c>
      <c r="B869" s="3" t="inlineStr">
        <is>
          <t>Russia</t>
        </is>
      </c>
      <c r="C869" s="3" t="inlineStr">
        <is>
          <t>Москва</t>
        </is>
      </c>
      <c r="D869" s="3" t="inlineStr">
        <is>
          <t>HSE University (National Research University Higher School of Economics)</t>
        </is>
      </c>
      <c r="E869" s="3" t="inlineStr">
        <is>
          <t>Национальный исследовательский университет «Высшая школа экономики» (НИУ ВШЭ)</t>
        </is>
      </c>
      <c r="F869" s="3" t="inlineStr">
        <is>
          <t>https://www.hse.ru</t>
        </is>
      </c>
      <c r="G869" s="3" t="inlineStr">
        <is>
          <t>QS2027: 423</t>
        </is>
      </c>
      <c r="H869" s="3" t="inlineStr">
        <is>
          <t>THE2027: 601–650</t>
        </is>
      </c>
      <c r="I869" s="3" t="inlineStr">
        <is>
          <t>RAEX2026: 6</t>
        </is>
      </c>
      <c r="J869" s="4">
        <f>423</f>
        <v/>
      </c>
      <c r="K869" s="4" t="inlineStr">
        <is>
          <t>601–650</t>
        </is>
      </c>
      <c r="L869" s="4" t="inlineStr">
        <is>
          <t>448</t>
        </is>
      </c>
      <c r="M869" s="4" t="inlineStr">
        <is>
          <t>RAEX-100 2026</t>
        </is>
      </c>
      <c r="N869" s="4" t="inlineStr">
        <is>
          <t>6</t>
        </is>
      </c>
      <c r="O86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869" s="4" t="n"/>
    </row>
    <row r="870">
      <c r="A870" s="3" t="inlineStr">
        <is>
          <t>Russia|Herzen State Pedagogical University of Russia</t>
        </is>
      </c>
      <c r="B870" s="3" t="inlineStr">
        <is>
          <t>Russia</t>
        </is>
      </c>
      <c r="C870" s="3" t="inlineStr">
        <is>
          <t>Санкт-Петербург</t>
        </is>
      </c>
      <c r="D870" s="3" t="inlineStr">
        <is>
          <t>Herzen State Pedagogical University of Russia</t>
        </is>
      </c>
      <c r="E870" s="3" t="inlineStr">
        <is>
          <t>Российский государственный педагогический университет им. А. И. Герцена (РГПУ им. А. И. Герцена)</t>
        </is>
      </c>
      <c r="F870" s="3" t="inlineStr">
        <is>
          <t>https://www.herzen.spb.ru</t>
        </is>
      </c>
      <c r="G870" s="3" t="inlineStr"/>
      <c r="H870" s="3" t="inlineStr">
        <is>
          <t>THE2027: 2001+</t>
        </is>
      </c>
      <c r="I870" s="3" t="inlineStr">
        <is>
          <t>RAEX2026: 41</t>
        </is>
      </c>
      <c r="J870" s="4" t="inlineStr">
        <is>
          <t>не в рейтинге</t>
        </is>
      </c>
      <c r="K870" s="4" t="inlineStr">
        <is>
          <t>2001+</t>
        </is>
      </c>
      <c r="L870" s="4" t="inlineStr">
        <is>
          <t>нет в опубл. списке (опубликован только топ-15 страны)</t>
        </is>
      </c>
      <c r="M870" s="4" t="inlineStr">
        <is>
          <t>RAEX-100 2026</t>
        </is>
      </c>
      <c r="N870" s="4" t="inlineStr">
        <is>
          <t>41</t>
        </is>
      </c>
      <c r="O870" s="4" t="inlineStr">
        <is>
          <t>https://www.timeshighereducation.com/world-university-rankings/2027/world-ranking
https://raex-rr.com/education/russian_universities/top-100_universities/2026/</t>
        </is>
      </c>
      <c r="P870" s="4" t="n"/>
    </row>
    <row r="871">
      <c r="A871" s="3" t="inlineStr">
        <is>
          <t>Russia|I.N. Ulianov Chuvash State University (ChuvSU)</t>
        </is>
      </c>
      <c r="B871" s="3" t="inlineStr">
        <is>
          <t>Russia</t>
        </is>
      </c>
      <c r="C871" s="3" t="inlineStr">
        <is>
          <t>Чебоксары</t>
        </is>
      </c>
      <c r="D871" s="3" t="inlineStr">
        <is>
          <t>I.N. Ulianov Chuvash State University (ChuvSU)</t>
        </is>
      </c>
      <c r="E871" s="3" t="inlineStr">
        <is>
          <t>Федеральное государственное бюджетное образовательное учреждение высшего образования «Чувашский государственный университет имени И.Н. Ульянова» (ЧГУ)</t>
        </is>
      </c>
      <c r="F871" s="3" t="inlineStr">
        <is>
          <t>https://www.chuvsu.ru</t>
        </is>
      </c>
      <c r="G871" s="3" t="inlineStr"/>
      <c r="H871" s="3" t="inlineStr"/>
      <c r="I871" s="3" t="inlineStr"/>
      <c r="J871" s="4" t="inlineStr">
        <is>
          <t>не в рейтинге</t>
        </is>
      </c>
      <c r="K871" s="4" t="inlineStr">
        <is>
          <t>не в рейтинге</t>
        </is>
      </c>
      <c r="L871" s="4" t="inlineStr">
        <is>
          <t>нет в опубл. списке (опубликован только топ-15 страны)</t>
        </is>
      </c>
      <c r="M871" s="4" t="inlineStr">
        <is>
          <t>RAEX-100 2026; МосМУР «Три миссии» 2025</t>
        </is>
      </c>
      <c r="N871" s="4" t="inlineStr">
        <is>
          <t>не в рейтинге</t>
        </is>
      </c>
      <c r="O871" s="4" t="inlineStr">
        <is>
          <t>https://raex-rr.com/education/russian_universities/top-100_universities/2026/ ; https://mosiur.org/ranking/</t>
        </is>
      </c>
      <c r="P871" s="4" t="n"/>
    </row>
    <row r="872">
      <c r="A872" s="3" t="inlineStr">
        <is>
          <t>Russia|ITMO University</t>
        </is>
      </c>
      <c r="B872" s="3" t="inlineStr">
        <is>
          <t>Russia</t>
        </is>
      </c>
      <c r="C872" s="3" t="inlineStr">
        <is>
          <t>Санкт-Петербург</t>
        </is>
      </c>
      <c r="D872" s="3" t="inlineStr">
        <is>
          <t>ITMO University</t>
        </is>
      </c>
      <c r="E872" s="3" t="inlineStr">
        <is>
          <t>Национальный исследовательский университет ИТМО (Университет ИТМО)</t>
        </is>
      </c>
      <c r="F872" s="3" t="inlineStr">
        <is>
          <t>https://itmo.ru</t>
        </is>
      </c>
      <c r="G872" s="3" t="inlineStr">
        <is>
          <t>QS2027: 801–850</t>
        </is>
      </c>
      <c r="H872" s="3" t="inlineStr">
        <is>
          <t>THE2027: 1001–1200</t>
        </is>
      </c>
      <c r="I872" s="3" t="inlineStr">
        <is>
          <t>RAEX2026: 15</t>
        </is>
      </c>
      <c r="J872" s="4" t="inlineStr">
        <is>
          <t>801–850</t>
        </is>
      </c>
      <c r="K872" s="4" t="inlineStr">
        <is>
          <t>1001–1200</t>
        </is>
      </c>
      <c r="L872" s="4" t="inlineStr">
        <is>
          <t>нет в опубл. списке (опубликован только топ-15 страны)</t>
        </is>
      </c>
      <c r="M872" s="4" t="inlineStr">
        <is>
          <t>МосМУР «Три миссии университета» 2025 (мировой, место в мире)</t>
        </is>
      </c>
      <c r="N872" s="4" t="inlineStr">
        <is>
          <t>351–400</t>
        </is>
      </c>
      <c r="O872" s="4" t="inlineStr">
        <is>
          <t>https://www.topuniversities.com/world-university-rankings (QS WUR 2027)
https://www.timeshighereducation.com/world-university-rankings/2027/world-ranking
https://mosiur.org/ranking/</t>
        </is>
      </c>
      <c r="P872" s="4" t="inlineStr">
        <is>
          <t>в RAEX-100 2026 отсутствует</t>
        </is>
      </c>
    </row>
    <row r="873">
      <c r="A873" s="3" t="inlineStr">
        <is>
          <t>Russia|Immanuel Kant Baltic Federal University</t>
        </is>
      </c>
      <c r="B873" s="3" t="inlineStr">
        <is>
          <t>Russia</t>
        </is>
      </c>
      <c r="C873" s="3" t="inlineStr">
        <is>
          <t>Калининград</t>
        </is>
      </c>
      <c r="D873" s="3" t="inlineStr">
        <is>
          <t>Immanuel Kant Baltic Federal University</t>
        </is>
      </c>
      <c r="E873" s="3" t="inlineStr">
        <is>
          <t>Балтийский федеральный университет имени Иммануила Канта</t>
        </is>
      </c>
      <c r="F873" s="3" t="inlineStr">
        <is>
          <t>https://kantiana.ru</t>
        </is>
      </c>
      <c r="G873" s="3" t="inlineStr">
        <is>
          <t>QS2027: 1001–1200</t>
        </is>
      </c>
      <c r="H873" s="3" t="inlineStr">
        <is>
          <t>THE2027: 1401–1600</t>
        </is>
      </c>
      <c r="I873" s="3" t="inlineStr">
        <is>
          <t>RAEX2026: 68</t>
        </is>
      </c>
      <c r="J873" s="4" t="inlineStr">
        <is>
          <t>1001–1200</t>
        </is>
      </c>
      <c r="K873" s="4" t="inlineStr">
        <is>
          <t>1401–1600</t>
        </is>
      </c>
      <c r="L873" s="4" t="inlineStr">
        <is>
          <t>нет в опубл. списке (опубликован только топ-15 страны)</t>
        </is>
      </c>
      <c r="M873" s="4" t="inlineStr">
        <is>
          <t>RAEX-100 2026</t>
        </is>
      </c>
      <c r="N873" s="4" t="inlineStr">
        <is>
          <t>68</t>
        </is>
      </c>
      <c r="O873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873" s="4" t="n"/>
    </row>
    <row r="874">
      <c r="A874" s="3" t="inlineStr">
        <is>
          <t>Russia|Industrial University of Tyumen (IUT)</t>
        </is>
      </c>
      <c r="B874" s="3" t="inlineStr">
        <is>
          <t>Russia</t>
        </is>
      </c>
      <c r="C874" s="3" t="inlineStr">
        <is>
          <t>Тюмень</t>
        </is>
      </c>
      <c r="D874" s="3" t="inlineStr">
        <is>
          <t>Industrial University of Tyumen (IUT)</t>
        </is>
      </c>
      <c r="E874" s="3" t="inlineStr">
        <is>
          <t>Федеральное государственное бюджетное образовательное учреждение высшего образования «Тюменский индустриальный университет» (ТИУ)</t>
        </is>
      </c>
      <c r="F874" s="3" t="inlineStr">
        <is>
          <t>https://www.tyuiu.ru</t>
        </is>
      </c>
      <c r="G874" s="3" t="inlineStr"/>
      <c r="H874" s="3" t="inlineStr">
        <is>
          <t>THE2027: Reporter (unranked)</t>
        </is>
      </c>
      <c r="I874" s="3" t="inlineStr">
        <is>
          <t>RAEX2026: 95</t>
        </is>
      </c>
      <c r="J874" s="4" t="inlineStr">
        <is>
          <t>не в рейтинге</t>
        </is>
      </c>
      <c r="K874" s="4" t="inlineStr">
        <is>
          <t>Reporter</t>
        </is>
      </c>
      <c r="L874" s="4" t="inlineStr">
        <is>
          <t>нет в опубл. списке (опубликован только топ-15 страны)</t>
        </is>
      </c>
      <c r="M874" s="4" t="inlineStr">
        <is>
          <t>МосМУР «Три миссии университета» 2025 (мировой, место в мире)</t>
        </is>
      </c>
      <c r="N874" s="4" t="inlineStr">
        <is>
          <t>1501–1750</t>
        </is>
      </c>
      <c r="O874" s="4" t="inlineStr">
        <is>
          <t>https://www.timeshighereducation.com/world-university-rankings/2027/world-ranking
https://mosiur.org/ranking/</t>
        </is>
      </c>
      <c r="P874" s="4" t="inlineStr">
        <is>
          <t>в RAEX-100 2026 отсутствует</t>
        </is>
      </c>
    </row>
    <row r="875">
      <c r="A875" s="3" t="inlineStr">
        <is>
          <t>Russia|Innopolis University</t>
        </is>
      </c>
      <c r="B875" s="3" t="inlineStr">
        <is>
          <t>Russia</t>
        </is>
      </c>
      <c r="C875" s="3" t="inlineStr">
        <is>
          <t>Иннополис</t>
        </is>
      </c>
      <c r="D875" s="3" t="inlineStr">
        <is>
          <t>Innopolis University</t>
        </is>
      </c>
      <c r="E875" s="3" t="inlineStr">
        <is>
          <t>Автономная некоммерческая организация высшего образования «Университет Иннополис»</t>
        </is>
      </c>
      <c r="F875" s="3" t="inlineStr">
        <is>
          <t>https://innopolis.university</t>
        </is>
      </c>
      <c r="G875" s="3" t="inlineStr"/>
      <c r="H875" s="3" t="inlineStr">
        <is>
          <t>THE2027: 1001–1200</t>
        </is>
      </c>
      <c r="I875" s="3" t="inlineStr"/>
      <c r="J875" s="4" t="inlineStr">
        <is>
          <t>не в рейтинге</t>
        </is>
      </c>
      <c r="K875" s="4" t="inlineStr">
        <is>
          <t>1001–1200</t>
        </is>
      </c>
      <c r="L875" s="4" t="inlineStr">
        <is>
          <t>нет в опубл. списке (опубликован только топ-15 страны)</t>
        </is>
      </c>
      <c r="M875" s="4" t="inlineStr">
        <is>
          <t>МосМУР «Три миссии университета» 2025 (мировой, место в мире)</t>
        </is>
      </c>
      <c r="N875" s="4" t="inlineStr">
        <is>
          <t>501–550</t>
        </is>
      </c>
      <c r="O875" s="4" t="inlineStr">
        <is>
          <t>https://www.timeshighereducation.com/world-university-rankings/2027/world-ranking
https://mosiur.org/ranking/</t>
        </is>
      </c>
      <c r="P875" s="4" t="inlineStr">
        <is>
          <t>в RAEX-100 2026 отсутствует</t>
        </is>
      </c>
    </row>
    <row r="876">
      <c r="A876" s="3" t="inlineStr">
        <is>
          <t>Russia|Irkutsk National Research Technical University (IRNITU)</t>
        </is>
      </c>
      <c r="B876" s="3" t="inlineStr">
        <is>
          <t>Russia</t>
        </is>
      </c>
      <c r="C876" s="3" t="inlineStr">
        <is>
          <t>Иркутск</t>
        </is>
      </c>
      <c r="D876" s="3" t="inlineStr">
        <is>
          <t>Irkutsk National Research Technical University (IRNITU)</t>
        </is>
      </c>
      <c r="E876" s="3" t="inlineStr">
        <is>
          <t>Иркутский национальный исследовательский технический университет</t>
        </is>
      </c>
      <c r="F876" s="3" t="inlineStr">
        <is>
          <t>https://www.istu.edu</t>
        </is>
      </c>
      <c r="G876" s="3" t="inlineStr"/>
      <c r="H876" s="3" t="inlineStr">
        <is>
          <t>THE2027: 2001+</t>
        </is>
      </c>
      <c r="I876" s="3" t="inlineStr">
        <is>
          <t>RAEX2026: 83</t>
        </is>
      </c>
      <c r="J876" s="4" t="inlineStr">
        <is>
          <t>не в рейтинге</t>
        </is>
      </c>
      <c r="K876" s="4" t="inlineStr">
        <is>
          <t>2001+</t>
        </is>
      </c>
      <c r="L876" s="4" t="inlineStr">
        <is>
          <t>нет в опубл. списке (опубликован только топ-15 страны)</t>
        </is>
      </c>
      <c r="M876" s="4" t="inlineStr">
        <is>
          <t>RAEX-100 2026</t>
        </is>
      </c>
      <c r="N876" s="4" t="inlineStr">
        <is>
          <t>83</t>
        </is>
      </c>
      <c r="O876" s="4" t="inlineStr">
        <is>
          <t>https://www.timeshighereducation.com/world-university-rankings/2027/world-ranking
https://raex-rr.com/education/russian_universities/top-100_universities/2026/</t>
        </is>
      </c>
      <c r="P876" s="4" t="n"/>
    </row>
    <row r="877">
      <c r="A877" s="3" t="inlineStr">
        <is>
          <t>Russia|Irkutsk State University</t>
        </is>
      </c>
      <c r="B877" s="3" t="inlineStr">
        <is>
          <t>Russia</t>
        </is>
      </c>
      <c r="C877" s="3" t="inlineStr">
        <is>
          <t>Иркутск</t>
        </is>
      </c>
      <c r="D877" s="3" t="inlineStr">
        <is>
          <t>Irkutsk State University</t>
        </is>
      </c>
      <c r="E877" s="3" t="inlineStr">
        <is>
          <t>Иркутский государственный университет</t>
        </is>
      </c>
      <c r="F877" s="3" t="inlineStr">
        <is>
          <t>https://isu.ru</t>
        </is>
      </c>
      <c r="G877" s="3" t="inlineStr"/>
      <c r="H877" s="3" t="inlineStr">
        <is>
          <t>THE2027: 2001+</t>
        </is>
      </c>
      <c r="I877" s="3" t="inlineStr"/>
      <c r="J877" s="4" t="inlineStr">
        <is>
          <t>не в рейтинге</t>
        </is>
      </c>
      <c r="K877" s="4" t="inlineStr">
        <is>
          <t>2001+</t>
        </is>
      </c>
      <c r="L877" s="4" t="inlineStr">
        <is>
          <t>нет в опубл. списке (опубликован только топ-15 страны)</t>
        </is>
      </c>
      <c r="M877" s="4" t="inlineStr">
        <is>
          <t>МосМУР «Три миссии университета» 2025 (мировой, место в мире)</t>
        </is>
      </c>
      <c r="N877" s="4" t="inlineStr">
        <is>
          <t>1501–1750</t>
        </is>
      </c>
      <c r="O877" s="4" t="inlineStr">
        <is>
          <t>https://www.timeshighereducation.com/world-university-rankings/2027/world-ranking
https://mosiur.org/ranking/</t>
        </is>
      </c>
      <c r="P877" s="4" t="inlineStr">
        <is>
          <t>в RAEX-100 2026 отсутствует</t>
        </is>
      </c>
    </row>
    <row r="878">
      <c r="A878" s="3" t="inlineStr">
        <is>
          <t>Russia|Ivanovo State Power Engineering University named after V.I. Lenin (ISPEU)</t>
        </is>
      </c>
      <c r="B878" s="3" t="inlineStr">
        <is>
          <t>Russia</t>
        </is>
      </c>
      <c r="C878" s="3" t="inlineStr">
        <is>
          <t>Иваново</t>
        </is>
      </c>
      <c r="D878" s="3" t="inlineStr">
        <is>
          <t>Ivanovo State Power Engineering University named after V.I. Lenin (ISPEU)</t>
        </is>
      </c>
      <c r="E878" s="3" t="inlineStr">
        <is>
          <t>Ивановский государственный энергетический университет имени В.И. Ленина</t>
        </is>
      </c>
      <c r="F878" s="3" t="inlineStr">
        <is>
          <t>https://ispu.ru</t>
        </is>
      </c>
      <c r="G878" s="3" t="inlineStr"/>
      <c r="H878" s="3" t="inlineStr"/>
      <c r="I878" s="3" t="inlineStr"/>
      <c r="J878" s="4" t="inlineStr">
        <is>
          <t>не в рейтинге</t>
        </is>
      </c>
      <c r="K878" s="4" t="inlineStr">
        <is>
          <t>не в рейтинге</t>
        </is>
      </c>
      <c r="L878" s="4" t="inlineStr">
        <is>
          <t>нет в опубл. списке (опубликован только топ-15 страны)</t>
        </is>
      </c>
      <c r="M878" s="4" t="inlineStr">
        <is>
          <t>RAEX-100 2026; МосМУР «Три миссии» 2025</t>
        </is>
      </c>
      <c r="N878" s="4" t="inlineStr">
        <is>
          <t>не в рейтинге</t>
        </is>
      </c>
      <c r="O878" s="4" t="inlineStr">
        <is>
          <t>https://raex-rr.com/education/russian_universities/top-100_universities/2026/ ; https://mosiur.org/ranking/</t>
        </is>
      </c>
      <c r="P878" s="4" t="n"/>
    </row>
    <row r="879">
      <c r="A879" s="3" t="inlineStr">
        <is>
          <t>Russia|Ivanovo State University</t>
        </is>
      </c>
      <c r="B879" s="3" t="inlineStr">
        <is>
          <t>Russia</t>
        </is>
      </c>
      <c r="C879" s="3" t="inlineStr">
        <is>
          <t>Иваново</t>
        </is>
      </c>
      <c r="D879" s="3" t="inlineStr">
        <is>
          <t>Ivanovo State University</t>
        </is>
      </c>
      <c r="E879" s="3" t="inlineStr">
        <is>
          <t>Ивановский государственный университет</t>
        </is>
      </c>
      <c r="F879" s="3" t="inlineStr">
        <is>
          <t>https://ivanovo.ac.ru</t>
        </is>
      </c>
      <c r="G879" s="3" t="inlineStr"/>
      <c r="H879" s="3" t="inlineStr"/>
      <c r="I879" s="3" t="inlineStr"/>
      <c r="J879" s="4" t="inlineStr">
        <is>
          <t>не в рейтинге</t>
        </is>
      </c>
      <c r="K879" s="4" t="inlineStr">
        <is>
          <t>не в рейтинге</t>
        </is>
      </c>
      <c r="L879" s="4" t="inlineStr">
        <is>
          <t>нет в опубл. списке (опубликован только топ-15 страны)</t>
        </is>
      </c>
      <c r="M879" s="4" t="inlineStr">
        <is>
          <t>МосМУР «Три миссии университета» 2025 (мировой, место в мире)</t>
        </is>
      </c>
      <c r="N879" s="4" t="inlineStr">
        <is>
          <t>1751–2000</t>
        </is>
      </c>
      <c r="O879" s="4" t="inlineStr">
        <is>
          <t>https://mosiur.org/ranking/</t>
        </is>
      </c>
      <c r="P879" s="4" t="inlineStr">
        <is>
          <t>в RAEX-100 2026 отсутствует</t>
        </is>
      </c>
    </row>
    <row r="880">
      <c r="A880" s="3" t="inlineStr">
        <is>
          <t>Russia|Kabardino-Balkarian State Agrarian University named after V.M. Kokov (KBSAU)</t>
        </is>
      </c>
      <c r="B880" s="3" t="inlineStr">
        <is>
          <t>Russia</t>
        </is>
      </c>
      <c r="C880" s="3" t="inlineStr">
        <is>
          <t>Нальчик</t>
        </is>
      </c>
      <c r="D880" s="3" t="inlineStr">
        <is>
          <t>Kabardino-Balkarian State Agrarian University named after V.M. Kokov (KBSAU)</t>
        </is>
      </c>
      <c r="E880" s="3" t="inlineStr">
        <is>
          <t>Кабардино-Балкарский государственный аграрный университет им. В.М. Кокова (КБГАУ)</t>
        </is>
      </c>
      <c r="F880" s="3" t="inlineStr">
        <is>
          <t>https://kbgau.ru</t>
        </is>
      </c>
      <c r="G880" s="3" t="inlineStr"/>
      <c r="H880" s="3" t="inlineStr"/>
      <c r="I880" s="3" t="inlineStr"/>
      <c r="J880" s="4" t="inlineStr">
        <is>
          <t>не в рейтинге</t>
        </is>
      </c>
      <c r="K880" s="4" t="inlineStr">
        <is>
          <t>не в рейтинге</t>
        </is>
      </c>
      <c r="L880" s="4" t="inlineStr">
        <is>
          <t>нет в опубл. списке (опубликован только топ-15 страны)</t>
        </is>
      </c>
      <c r="M880" s="4" t="inlineStr">
        <is>
          <t>RAEX-100 2026; МосМУР «Три миссии» 2025</t>
        </is>
      </c>
      <c r="N880" s="4" t="inlineStr">
        <is>
          <t>не в рейтинге</t>
        </is>
      </c>
      <c r="O880" s="4" t="inlineStr">
        <is>
          <t>https://raex-rr.com/education/russian_universities/top-100_universities/2026/ ; https://mosiur.org/ranking/</t>
        </is>
      </c>
      <c r="P880" s="4" t="n"/>
    </row>
    <row r="881">
      <c r="A881" s="3" t="inlineStr">
        <is>
          <t>Russia|Kabardino-Balkarian State University named after H.M. Berbekov</t>
        </is>
      </c>
      <c r="B881" s="3" t="inlineStr">
        <is>
          <t>Russia</t>
        </is>
      </c>
      <c r="C881" s="3" t="inlineStr">
        <is>
          <t>Нальчик</t>
        </is>
      </c>
      <c r="D881" s="3" t="inlineStr">
        <is>
          <t>Kabardino-Balkarian State University named after H.M. Berbekov</t>
        </is>
      </c>
      <c r="E881" s="3" t="inlineStr">
        <is>
          <t>Кабардино-Балкарский государственный университет им. Х.М. Бербекова</t>
        </is>
      </c>
      <c r="F881" s="3" t="inlineStr">
        <is>
          <t>https://kbsu.ru</t>
        </is>
      </c>
      <c r="G881" s="3" t="inlineStr"/>
      <c r="H881" s="3" t="inlineStr"/>
      <c r="I881" s="3" t="inlineStr">
        <is>
          <t>RAEX2026: 82</t>
        </is>
      </c>
      <c r="J881" s="4" t="inlineStr">
        <is>
          <t>не в рейтинге</t>
        </is>
      </c>
      <c r="K881" s="4" t="inlineStr">
        <is>
          <t>не в рейтинге</t>
        </is>
      </c>
      <c r="L881" s="4" t="inlineStr">
        <is>
          <t>нет в опубл. списке (опубликован только топ-15 страны)</t>
        </is>
      </c>
      <c r="M881" s="4" t="inlineStr">
        <is>
          <t>RAEX-100 2026</t>
        </is>
      </c>
      <c r="N881" s="4" t="inlineStr">
        <is>
          <t>82</t>
        </is>
      </c>
      <c r="O881" s="4" t="inlineStr">
        <is>
          <t>https://raex-rr.com/education/russian_universities/top-100_universities/2026/</t>
        </is>
      </c>
      <c r="P881" s="4" t="n"/>
    </row>
    <row r="882">
      <c r="A882" s="3" t="inlineStr">
        <is>
          <t>Russia|Kadyrov Chechen State University</t>
        </is>
      </c>
      <c r="B882" s="3" t="inlineStr">
        <is>
          <t>Russia</t>
        </is>
      </c>
      <c r="C882" s="3" t="inlineStr">
        <is>
          <t>Грозный</t>
        </is>
      </c>
      <c r="D882" s="3" t="inlineStr">
        <is>
          <t>Kadyrov Chechen State University</t>
        </is>
      </c>
      <c r="E882" s="3" t="inlineStr">
        <is>
          <t>Чеченский государственный университет имени Ахмата Абдулхамидовича Кадырова</t>
        </is>
      </c>
      <c r="F882" s="3" t="inlineStr">
        <is>
          <t>https://chesu.ru</t>
        </is>
      </c>
      <c r="G882" s="3" t="inlineStr"/>
      <c r="H882" s="3" t="inlineStr"/>
      <c r="I882" s="3" t="inlineStr"/>
      <c r="J882" s="4" t="inlineStr">
        <is>
          <t>не в рейтинге</t>
        </is>
      </c>
      <c r="K882" s="4" t="inlineStr">
        <is>
          <t>не в рейтинге</t>
        </is>
      </c>
      <c r="L882" s="4" t="inlineStr">
        <is>
          <t>нет в опубл. списке (опубликован только топ-15 страны)</t>
        </is>
      </c>
      <c r="M882" s="4" t="inlineStr">
        <is>
          <t>МосМУР «Три миссии университета» 2025 (мировой, место в мире)</t>
        </is>
      </c>
      <c r="N882" s="4" t="inlineStr">
        <is>
          <t>1751–2000</t>
        </is>
      </c>
      <c r="O882" s="4" t="inlineStr">
        <is>
          <t>https://mosiur.org/ranking/</t>
        </is>
      </c>
      <c r="P882" s="4" t="inlineStr">
        <is>
          <t>в RAEX-100 2026 отсутствует</t>
        </is>
      </c>
    </row>
    <row r="883">
      <c r="A883" s="3" t="inlineStr">
        <is>
          <t>Russia|Kalashnikov Izhevsk State Technical University (ISTU)</t>
        </is>
      </c>
      <c r="B883" s="3" t="inlineStr">
        <is>
          <t>Russia</t>
        </is>
      </c>
      <c r="C883" s="3" t="inlineStr">
        <is>
          <t>Ижевск</t>
        </is>
      </c>
      <c r="D883" s="3" t="inlineStr">
        <is>
          <t>Kalashnikov Izhevsk State Technical University (ISTU)</t>
        </is>
      </c>
      <c r="E883" s="3" t="inlineStr">
        <is>
          <t>Ижевский государственный технический университет имени М.Т. Калашникова</t>
        </is>
      </c>
      <c r="F883" s="3" t="inlineStr">
        <is>
          <t>https://istu.ru</t>
        </is>
      </c>
      <c r="G883" s="3" t="inlineStr"/>
      <c r="H883" s="3" t="inlineStr"/>
      <c r="I883" s="3" t="inlineStr"/>
      <c r="J883" s="4" t="inlineStr">
        <is>
          <t>не в рейтинге</t>
        </is>
      </c>
      <c r="K883" s="4" t="inlineStr">
        <is>
          <t>не в рейтинге</t>
        </is>
      </c>
      <c r="L883" s="4" t="inlineStr">
        <is>
          <t>нет в опубл. списке (опубликован только топ-15 страны)</t>
        </is>
      </c>
      <c r="M883" s="4" t="inlineStr">
        <is>
          <t>RAEX-100 2026; МосМУР «Три миссии» 2025</t>
        </is>
      </c>
      <c r="N883" s="4" t="inlineStr">
        <is>
          <t>не в рейтинге</t>
        </is>
      </c>
      <c r="O883" s="4" t="inlineStr">
        <is>
          <t>https://raex-rr.com/education/russian_universities/top-100_universities/2026/ ; https://mosiur.org/ranking/</t>
        </is>
      </c>
      <c r="P883" s="4" t="n"/>
    </row>
    <row r="884">
      <c r="A884" s="3" t="inlineStr">
        <is>
          <t>Russia|Kalmyk State University named after B.B. Gorodovikov</t>
        </is>
      </c>
      <c r="B884" s="3" t="inlineStr">
        <is>
          <t>Russia</t>
        </is>
      </c>
      <c r="C884" s="3" t="inlineStr">
        <is>
          <t>Элиста</t>
        </is>
      </c>
      <c r="D884" s="3" t="inlineStr">
        <is>
          <t>Kalmyk State University named after B.B. Gorodovikov</t>
        </is>
      </c>
      <c r="E884" s="3" t="inlineStr">
        <is>
          <t>Калмыцкий государственный университет имени Б.Б. Городовикова</t>
        </is>
      </c>
      <c r="F884" s="3" t="inlineStr">
        <is>
          <t>https://kalmgu.ru</t>
        </is>
      </c>
      <c r="G884" s="3" t="inlineStr"/>
      <c r="H884" s="3" t="inlineStr"/>
      <c r="I884" s="3" t="inlineStr"/>
      <c r="J884" s="4" t="inlineStr">
        <is>
          <t>не в рейтинге</t>
        </is>
      </c>
      <c r="K884" s="4" t="inlineStr">
        <is>
          <t>не в рейтинге</t>
        </is>
      </c>
      <c r="L884" s="4" t="inlineStr">
        <is>
          <t>нет в опубл. списке (опубликован только топ-15 страны)</t>
        </is>
      </c>
      <c r="M884" s="4" t="inlineStr">
        <is>
          <t>RAEX-100 2026; МосМУР «Три миссии» 2025</t>
        </is>
      </c>
      <c r="N884" s="4" t="inlineStr">
        <is>
          <t>не в рейтинге</t>
        </is>
      </c>
      <c r="O884" s="4" t="inlineStr">
        <is>
          <t>https://raex-rr.com/education/russian_universities/top-100_universities/2026/ ; https://mosiur.org/ranking/</t>
        </is>
      </c>
      <c r="P884" s="4" t="n"/>
    </row>
    <row r="885">
      <c r="A885" s="3" t="inlineStr">
        <is>
          <t>Russia|Kamchatka State Technical University (KamchatSTU)</t>
        </is>
      </c>
      <c r="B885" s="3" t="inlineStr">
        <is>
          <t>Russia</t>
        </is>
      </c>
      <c r="C885" s="3" t="inlineStr">
        <is>
          <t>Петропавловск-Камчатский</t>
        </is>
      </c>
      <c r="D885" s="3" t="inlineStr">
        <is>
          <t>Kamchatka State Technical University (KamchatSTU)</t>
        </is>
      </c>
      <c r="E885" s="3" t="inlineStr">
        <is>
          <t>Камчатский государственный технический университет (КамчатГТУ)</t>
        </is>
      </c>
      <c r="F885" s="3" t="inlineStr">
        <is>
          <t>https://kamchatgtu.ru</t>
        </is>
      </c>
      <c r="G885" s="3" t="inlineStr"/>
      <c r="H885" s="3" t="inlineStr"/>
      <c r="I885" s="3" t="inlineStr"/>
      <c r="J885" s="4" t="inlineStr">
        <is>
          <t>не в рейтинге</t>
        </is>
      </c>
      <c r="K885" s="4" t="inlineStr">
        <is>
          <t>не в рейтинге</t>
        </is>
      </c>
      <c r="L885" s="4" t="inlineStr">
        <is>
          <t>нет в опубл. списке (опубликован только топ-15 страны)</t>
        </is>
      </c>
      <c r="M885" s="4" t="inlineStr">
        <is>
          <t>RAEX-100 2026; МосМУР «Три миссии» 2025</t>
        </is>
      </c>
      <c r="N885" s="4" t="inlineStr">
        <is>
          <t>не в рейтинге</t>
        </is>
      </c>
      <c r="O885" s="4" t="inlineStr">
        <is>
          <t>https://raex-rr.com/education/russian_universities/top-100_universities/2026/ ; https://mosiur.org/ranking/</t>
        </is>
      </c>
      <c r="P885" s="4" t="n"/>
    </row>
    <row r="886">
      <c r="A886" s="3" t="inlineStr">
        <is>
          <t>Russia|Katanov Khakass State University</t>
        </is>
      </c>
      <c r="B886" s="3" t="inlineStr">
        <is>
          <t>Russia</t>
        </is>
      </c>
      <c r="C886" s="3" t="inlineStr">
        <is>
          <t>Абакан</t>
        </is>
      </c>
      <c r="D886" s="3" t="inlineStr">
        <is>
          <t>Katanov Khakass State University</t>
        </is>
      </c>
      <c r="E886" s="3" t="inlineStr">
        <is>
          <t>Хакасский государственный университет им. Н.Ф. Катанова (ХГУ им. Н.Ф. Катанова)</t>
        </is>
      </c>
      <c r="F886" s="3" t="inlineStr">
        <is>
          <t>https://khsu.ru</t>
        </is>
      </c>
      <c r="G886" s="3" t="inlineStr"/>
      <c r="H886" s="3" t="inlineStr"/>
      <c r="I886" s="3" t="inlineStr"/>
      <c r="J886" s="4" t="inlineStr">
        <is>
          <t>не в рейтинге</t>
        </is>
      </c>
      <c r="K886" s="4" t="inlineStr">
        <is>
          <t>не в рейтинге</t>
        </is>
      </c>
      <c r="L886" s="4" t="inlineStr">
        <is>
          <t>нет в опубл. списке (опубликован только топ-15 страны)</t>
        </is>
      </c>
      <c r="M886" s="4" t="inlineStr">
        <is>
          <t>RAEX-100 2026; МосМУР «Три миссии» 2025</t>
        </is>
      </c>
      <c r="N886" s="4" t="inlineStr">
        <is>
          <t>не в рейтинге</t>
        </is>
      </c>
      <c r="O886" s="4" t="inlineStr">
        <is>
          <t>https://raex-rr.com/education/russian_universities/top-100_universities/2026/ ; https://mosiur.org/ranking/</t>
        </is>
      </c>
      <c r="P886" s="4" t="n"/>
    </row>
    <row r="887">
      <c r="A887" s="3" t="inlineStr">
        <is>
          <t>Russia|Kazan (Volga Region) Federal University (KFU)</t>
        </is>
      </c>
      <c r="B887" s="3" t="inlineStr">
        <is>
          <t>Russia</t>
        </is>
      </c>
      <c r="C887" s="3" t="inlineStr">
        <is>
          <t>Казань</t>
        </is>
      </c>
      <c r="D887" s="3" t="inlineStr">
        <is>
          <t>Kazan (Volga Region) Federal University (KFU)</t>
        </is>
      </c>
      <c r="E887" s="3" t="inlineStr">
        <is>
          <t>Казанский (Приволжский) федеральный университет</t>
        </is>
      </c>
      <c r="F887" s="3" t="inlineStr">
        <is>
          <t>https://kpfu.ru</t>
        </is>
      </c>
      <c r="G887" s="3" t="inlineStr">
        <is>
          <t>QS2027: 468</t>
        </is>
      </c>
      <c r="H887" s="3" t="inlineStr">
        <is>
          <t>THE2027: 1001–1200</t>
        </is>
      </c>
      <c r="I887" s="3" t="inlineStr">
        <is>
          <t>RAEX2026: 20</t>
        </is>
      </c>
      <c r="J887" s="4">
        <f>468</f>
        <v/>
      </c>
      <c r="K887" s="4" t="inlineStr">
        <is>
          <t>1001–1200</t>
        </is>
      </c>
      <c r="L887" s="4" t="inlineStr">
        <is>
          <t>1124</t>
        </is>
      </c>
      <c r="M887" s="4" t="inlineStr">
        <is>
          <t>RAEX-100 2026</t>
        </is>
      </c>
      <c r="N887" s="4" t="inlineStr">
        <is>
          <t>20</t>
        </is>
      </c>
      <c r="O88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887" s="4" t="n"/>
    </row>
    <row r="888">
      <c r="A888" s="3" t="inlineStr">
        <is>
          <t>Russia|Kazan National Research Technical University named after A.N. Tupolev - KAI (KNRTU-KAI)</t>
        </is>
      </c>
      <c r="B888" s="3" t="inlineStr">
        <is>
          <t>Russia</t>
        </is>
      </c>
      <c r="C888" s="3" t="inlineStr">
        <is>
          <t>Казань</t>
        </is>
      </c>
      <c r="D888" s="3" t="inlineStr">
        <is>
          <t>Kazan National Research Technical University named after A.N. Tupolev - KAI (KNRTU-KAI)</t>
        </is>
      </c>
      <c r="E888" s="3" t="inlineStr">
        <is>
          <t>Казанский национальный исследовательский технический университет им. А.Н. Туполева - КАИ</t>
        </is>
      </c>
      <c r="F888" s="3" t="inlineStr">
        <is>
          <t>https://kai.ru</t>
        </is>
      </c>
      <c r="G888" s="3" t="inlineStr"/>
      <c r="H888" s="3" t="inlineStr"/>
      <c r="I888" s="3" t="inlineStr">
        <is>
          <t>RAEX2026: 69</t>
        </is>
      </c>
      <c r="J888" s="4" t="inlineStr">
        <is>
          <t>не в рейтинге</t>
        </is>
      </c>
      <c r="K888" s="4" t="inlineStr">
        <is>
          <t>не в рейтинге</t>
        </is>
      </c>
      <c r="L888" s="4" t="inlineStr">
        <is>
          <t>нет в опубл. списке (опубликован только топ-15 страны)</t>
        </is>
      </c>
      <c r="M888" s="4" t="inlineStr">
        <is>
          <t>RAEX-100 2026</t>
        </is>
      </c>
      <c r="N888" s="4" t="inlineStr">
        <is>
          <t>69</t>
        </is>
      </c>
      <c r="O888" s="4" t="inlineStr">
        <is>
          <t>https://raex-rr.com/education/russian_universities/top-100_universities/2026/</t>
        </is>
      </c>
      <c r="P888" s="4" t="n"/>
    </row>
    <row r="889">
      <c r="A889" s="3" t="inlineStr">
        <is>
          <t>Russia|Kazan National Research Technological University (KNRTU)</t>
        </is>
      </c>
      <c r="B889" s="3" t="inlineStr">
        <is>
          <t>Russia</t>
        </is>
      </c>
      <c r="C889" s="3" t="inlineStr">
        <is>
          <t>Казань</t>
        </is>
      </c>
      <c r="D889" s="3" t="inlineStr">
        <is>
          <t>Kazan National Research Technological University (KNRTU)</t>
        </is>
      </c>
      <c r="E889" s="3" t="inlineStr">
        <is>
          <t>Казанский национальный исследовательский технологический университет (КНИТУ)</t>
        </is>
      </c>
      <c r="F889" s="3" t="inlineStr">
        <is>
          <t>https://www.kstu.ru</t>
        </is>
      </c>
      <c r="G889" s="3" t="inlineStr"/>
      <c r="H889" s="3" t="inlineStr">
        <is>
          <t>THE2027: 2001+</t>
        </is>
      </c>
      <c r="I889" s="3" t="inlineStr">
        <is>
          <t>RAEX2026: 77</t>
        </is>
      </c>
      <c r="J889" s="4" t="inlineStr">
        <is>
          <t>не в рейтинге</t>
        </is>
      </c>
      <c r="K889" s="4" t="inlineStr">
        <is>
          <t>2001+</t>
        </is>
      </c>
      <c r="L889" s="4" t="inlineStr">
        <is>
          <t>нет в опубл. списке (опубликован только топ-15 страны)</t>
        </is>
      </c>
      <c r="M889" s="4" t="inlineStr">
        <is>
          <t>RAEX-100 2026</t>
        </is>
      </c>
      <c r="N889" s="4" t="inlineStr">
        <is>
          <t>77</t>
        </is>
      </c>
      <c r="O889" s="4" t="inlineStr">
        <is>
          <t>https://www.timeshighereducation.com/world-university-rankings/2027/world-ranking
https://raex-rr.com/education/russian_universities/top-100_universities/2026/</t>
        </is>
      </c>
      <c r="P889" s="4" t="n"/>
    </row>
    <row r="890">
      <c r="A890" s="3" t="inlineStr">
        <is>
          <t>Russia|Kazan State Agrarian University (Kazan SAU)</t>
        </is>
      </c>
      <c r="B890" s="3" t="inlineStr">
        <is>
          <t>Russia</t>
        </is>
      </c>
      <c r="C890" s="3" t="inlineStr">
        <is>
          <t>Казань</t>
        </is>
      </c>
      <c r="D890" s="3" t="inlineStr">
        <is>
          <t>Kazan State Agrarian University (Kazan SAU)</t>
        </is>
      </c>
      <c r="E890" s="3" t="inlineStr">
        <is>
          <t>Казанский государственный аграрный университет (Казанский ГАУ)</t>
        </is>
      </c>
      <c r="F890" s="3" t="inlineStr">
        <is>
          <t>https://kazgau.ru</t>
        </is>
      </c>
      <c r="G890" s="3" t="inlineStr"/>
      <c r="H890" s="3" t="inlineStr"/>
      <c r="I890" s="3" t="inlineStr"/>
      <c r="J890" s="4" t="inlineStr">
        <is>
          <t>не в рейтинге</t>
        </is>
      </c>
      <c r="K890" s="4" t="inlineStr">
        <is>
          <t>не в рейтинге</t>
        </is>
      </c>
      <c r="L890" s="4" t="inlineStr">
        <is>
          <t>нет в опубл. списке (опубликован только топ-15 страны)</t>
        </is>
      </c>
      <c r="M890" s="4" t="inlineStr">
        <is>
          <t>RAEX-100 2026; МосМУР «Три миссии» 2025</t>
        </is>
      </c>
      <c r="N890" s="4" t="inlineStr">
        <is>
          <t>не в рейтинге</t>
        </is>
      </c>
      <c r="O890" s="4" t="inlineStr">
        <is>
          <t>https://raex-rr.com/education/russian_universities/top-100_universities/2026/ ; https://mosiur.org/ranking/</t>
        </is>
      </c>
      <c r="P890" s="4" t="n"/>
    </row>
    <row r="891">
      <c r="A891" s="3" t="inlineStr">
        <is>
          <t>Russia|Kazan State Power Engineering University (KSPEU)</t>
        </is>
      </c>
      <c r="B891" s="3" t="inlineStr">
        <is>
          <t>Russia</t>
        </is>
      </c>
      <c r="C891" s="3" t="inlineStr">
        <is>
          <t>Казань</t>
        </is>
      </c>
      <c r="D891" s="3" t="inlineStr">
        <is>
          <t>Kazan State Power Engineering University (KSPEU)</t>
        </is>
      </c>
      <c r="E891" s="3" t="inlineStr">
        <is>
          <t>Федеральное государственное бюджетное образовательное учреждение высшего образования «Казанский государственный энергетический университет» (КГЭУ)</t>
        </is>
      </c>
      <c r="F891" s="3" t="inlineStr">
        <is>
          <t>https://kgeu.ru</t>
        </is>
      </c>
      <c r="G891" s="3" t="inlineStr"/>
      <c r="H891" s="3" t="inlineStr">
        <is>
          <t>THE2027: 2001+</t>
        </is>
      </c>
      <c r="I891" s="3" t="inlineStr"/>
      <c r="J891" s="4" t="inlineStr">
        <is>
          <t>не в рейтинге</t>
        </is>
      </c>
      <c r="K891" s="4" t="inlineStr">
        <is>
          <t>2001+</t>
        </is>
      </c>
      <c r="L891" s="4" t="inlineStr">
        <is>
          <t>нет в опубл. списке (опубликован только топ-15 страны)</t>
        </is>
      </c>
      <c r="M891" s="4" t="inlineStr">
        <is>
          <t>RAEX-100 2026; МосМУР «Три миссии» 2025</t>
        </is>
      </c>
      <c r="N891" s="4" t="inlineStr">
        <is>
          <t>не в рейтинге</t>
        </is>
      </c>
      <c r="O891" s="4" t="inlineStr">
        <is>
          <t>https://www.timeshighereducation.com/world-university-rankings/2027/world-ranking
https://raex-rr.com/education/russian_universities/top-100_universities/2026/ ; https://mosiur.org/ranking/</t>
        </is>
      </c>
      <c r="P891" s="4" t="n"/>
    </row>
    <row r="892">
      <c r="A892" s="3" t="inlineStr">
        <is>
          <t>Russia|Kazan State University of Architecture and Engineering</t>
        </is>
      </c>
      <c r="B892" s="3" t="inlineStr">
        <is>
          <t>Russia</t>
        </is>
      </c>
      <c r="C892" s="3" t="inlineStr">
        <is>
          <t>Казань</t>
        </is>
      </c>
      <c r="D892" s="3" t="inlineStr">
        <is>
          <t>Kazan State University of Architecture and Engineering</t>
        </is>
      </c>
      <c r="E892" s="3" t="inlineStr">
        <is>
          <t>Казанский государственный архитектурно-строительный университет</t>
        </is>
      </c>
      <c r="F892" s="3" t="inlineStr">
        <is>
          <t>https://kgasu.ru</t>
        </is>
      </c>
      <c r="G892" s="3" t="inlineStr"/>
      <c r="H892" s="3" t="inlineStr"/>
      <c r="I892" s="3" t="inlineStr"/>
      <c r="J892" s="4" t="inlineStr">
        <is>
          <t>не в рейтинге</t>
        </is>
      </c>
      <c r="K892" s="4" t="inlineStr">
        <is>
          <t>не в рейтинге</t>
        </is>
      </c>
      <c r="L892" s="4" t="inlineStr">
        <is>
          <t>нет в опубл. списке (опубликован только топ-15 страны)</t>
        </is>
      </c>
      <c r="M892" s="4" t="inlineStr">
        <is>
          <t>RAEX-100 2026; МосМУР «Три миссии» 2025</t>
        </is>
      </c>
      <c r="N892" s="4" t="inlineStr">
        <is>
          <t>не в рейтинге</t>
        </is>
      </c>
      <c r="O892" s="4" t="inlineStr">
        <is>
          <t>https://raex-rr.com/education/russian_universities/top-100_universities/2026/ ; https://mosiur.org/ranking/</t>
        </is>
      </c>
      <c r="P892" s="4" t="n"/>
    </row>
    <row r="893">
      <c r="A893" s="3" t="inlineStr">
        <is>
          <t>Russia|Keldysh Institute of Applied Mathematics of the Russian Academy of Sciences (KIAM)</t>
        </is>
      </c>
      <c r="B893" s="3" t="inlineStr">
        <is>
          <t>Russia</t>
        </is>
      </c>
      <c r="C893" s="3" t="inlineStr">
        <is>
          <t>Москва</t>
        </is>
      </c>
      <c r="D893" s="3" t="inlineStr">
        <is>
          <t>Keldysh Institute of Applied Mathematics of the Russian Academy of Sciences (KIAM)</t>
        </is>
      </c>
      <c r="E893" s="3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893" s="3" t="inlineStr">
        <is>
          <t>https://keldysh.ru</t>
        </is>
      </c>
      <c r="G893" s="3" t="inlineStr"/>
      <c r="H893" s="3" t="inlineStr"/>
      <c r="I893" s="3" t="inlineStr"/>
      <c r="J893" s="4" t="inlineStr">
        <is>
          <t>не в рейтинге</t>
        </is>
      </c>
      <c r="K893" s="4" t="inlineStr">
        <is>
          <t>не в рейтинге</t>
        </is>
      </c>
      <c r="L893" s="4" t="inlineStr">
        <is>
          <t>нет в опубл. списке (опубликован только топ-15 страны)</t>
        </is>
      </c>
      <c r="M893" s="4" t="inlineStr">
        <is>
          <t>RAEX-100 2026; МосМУР «Три миссии» 2025</t>
        </is>
      </c>
      <c r="N893" s="4" t="inlineStr">
        <is>
          <t>не в рейтинге</t>
        </is>
      </c>
      <c r="O893" s="4" t="inlineStr">
        <is>
          <t>https://raex-rr.com/education/russian_universities/top-100_universities/2026/ ; https://mosiur.org/ranking/</t>
        </is>
      </c>
      <c r="P893" s="4" t="n"/>
    </row>
    <row r="894">
      <c r="A894" s="3" t="inlineStr">
        <is>
          <t>Russia|Kemerovo State University</t>
        </is>
      </c>
      <c r="B894" s="3" t="inlineStr">
        <is>
          <t>Russia</t>
        </is>
      </c>
      <c r="C894" s="3" t="inlineStr">
        <is>
          <t>Кемерово</t>
        </is>
      </c>
      <c r="D894" s="3" t="inlineStr">
        <is>
          <t>Kemerovo State University</t>
        </is>
      </c>
      <c r="E894" s="3" t="inlineStr">
        <is>
          <t>Кемеровский государственный университет</t>
        </is>
      </c>
      <c r="F894" s="3" t="inlineStr">
        <is>
          <t>https://kemsu.ru</t>
        </is>
      </c>
      <c r="G894" s="3" t="inlineStr"/>
      <c r="H894" s="3" t="inlineStr">
        <is>
          <t>THE2027: 2001+</t>
        </is>
      </c>
      <c r="I894" s="3" t="inlineStr"/>
      <c r="J894" s="4" t="inlineStr">
        <is>
          <t>не в рейтинге</t>
        </is>
      </c>
      <c r="K894" s="4" t="inlineStr">
        <is>
          <t>2001+</t>
        </is>
      </c>
      <c r="L894" s="4" t="inlineStr">
        <is>
          <t>нет в опубл. списке (опубликован только топ-15 страны)</t>
        </is>
      </c>
      <c r="M894" s="4" t="inlineStr">
        <is>
          <t>МосМУР «Три миссии университета» 2025 (мировой, место в мире)</t>
        </is>
      </c>
      <c r="N894" s="4" t="inlineStr">
        <is>
          <t>1751–2000</t>
        </is>
      </c>
      <c r="O894" s="4" t="inlineStr">
        <is>
          <t>https://www.timeshighereducation.com/world-university-rankings/2027/world-ranking
https://mosiur.org/ranking/</t>
        </is>
      </c>
      <c r="P894" s="4" t="inlineStr">
        <is>
          <t>в RAEX-100 2026 отсутствует</t>
        </is>
      </c>
    </row>
    <row r="895">
      <c r="A895" s="3" t="inlineStr">
        <is>
          <t>Russia|Komsomolsk-na-Amure State University (KnASU)</t>
        </is>
      </c>
      <c r="B895" s="3" t="inlineStr">
        <is>
          <t>Russia</t>
        </is>
      </c>
      <c r="C895" s="3" t="inlineStr">
        <is>
          <t>Комсомольск-на-Амуре</t>
        </is>
      </c>
      <c r="D895" s="3" t="inlineStr">
        <is>
          <t>Komsomolsk-na-Amure State University (KnASU)</t>
        </is>
      </c>
      <c r="E895" s="3" t="inlineStr">
        <is>
          <t>Комсомольский-на-Амуре государственный университет</t>
        </is>
      </c>
      <c r="F895" s="3" t="inlineStr">
        <is>
          <t>https://knastu.ru</t>
        </is>
      </c>
      <c r="G895" s="3" t="inlineStr"/>
      <c r="H895" s="3" t="inlineStr"/>
      <c r="I895" s="3" t="inlineStr"/>
      <c r="J895" s="4" t="inlineStr">
        <is>
          <t>не в рейтинге</t>
        </is>
      </c>
      <c r="K895" s="4" t="inlineStr">
        <is>
          <t>не в рейтинге</t>
        </is>
      </c>
      <c r="L895" s="4" t="inlineStr">
        <is>
          <t>нет в опубл. списке (опубликован только топ-15 страны)</t>
        </is>
      </c>
      <c r="M895" s="4" t="inlineStr">
        <is>
          <t>RAEX-100 2026; МосМУР «Три миссии» 2025</t>
        </is>
      </c>
      <c r="N895" s="4" t="inlineStr">
        <is>
          <t>не в рейтинге</t>
        </is>
      </c>
      <c r="O895" s="4" t="inlineStr">
        <is>
          <t>https://raex-rr.com/education/russian_universities/top-100_universities/2026/ ; https://mosiur.org/ranking/</t>
        </is>
      </c>
      <c r="P895" s="4" t="n"/>
    </row>
    <row r="896">
      <c r="A896" s="3" t="inlineStr">
        <is>
          <t>Russia|Kosygin State University of Russia (Technology. Design. Art)</t>
        </is>
      </c>
      <c r="B896" s="3" t="inlineStr">
        <is>
          <t>Russia</t>
        </is>
      </c>
      <c r="C896" s="3" t="inlineStr">
        <is>
          <t>Москва</t>
        </is>
      </c>
      <c r="D896" s="3" t="inlineStr">
        <is>
          <t>Kosygin State University of Russia (Technology. Design. Art)</t>
        </is>
      </c>
      <c r="E896" s="3" t="inlineStr">
        <is>
          <t>Российский государственный университет им. А.Н. Косыгина (Технологии. Дизайн. Искусство)</t>
        </is>
      </c>
      <c r="F896" s="3" t="inlineStr">
        <is>
          <t>https://rguk.ru</t>
        </is>
      </c>
      <c r="G896" s="3" t="inlineStr"/>
      <c r="H896" s="3" t="inlineStr"/>
      <c r="I896" s="3" t="inlineStr"/>
      <c r="J896" s="4" t="inlineStr">
        <is>
          <t>не в рейтинге</t>
        </is>
      </c>
      <c r="K896" s="4" t="inlineStr">
        <is>
          <t>Reporter</t>
        </is>
      </c>
      <c r="L896" s="4" t="inlineStr">
        <is>
          <t>нет в опубл. списке (опубликован только топ-15 страны)</t>
        </is>
      </c>
      <c r="M896" s="4" t="inlineStr">
        <is>
          <t>МосМУР «Три миссии университета» 2025 (мировой, место в мире)</t>
        </is>
      </c>
      <c r="N896" s="4" t="inlineStr">
        <is>
          <t>1751–2000</t>
        </is>
      </c>
      <c r="O896" s="4" t="inlineStr">
        <is>
          <t>https://www.timeshighereducation.com/world-university-rankings/2027/world-ranking
https://mosiur.org/ranking/</t>
        </is>
      </c>
      <c r="P896" s="4" t="inlineStr">
        <is>
          <t>в RAEX-100 2026 отсутствует</t>
        </is>
      </c>
    </row>
    <row r="897">
      <c r="A897" s="3" t="inlineStr">
        <is>
          <t>Russia|Krasnoyarsk State Agrarian University (KrasSAU)</t>
        </is>
      </c>
      <c r="B897" s="3" t="inlineStr">
        <is>
          <t>Russia</t>
        </is>
      </c>
      <c r="C897" s="3" t="inlineStr">
        <is>
          <t>Красноярск</t>
        </is>
      </c>
      <c r="D897" s="3" t="inlineStr">
        <is>
          <t>Krasnoyarsk State Agrarian University (KrasSAU)</t>
        </is>
      </c>
      <c r="E897" s="3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 (Красноярский ГАУ)</t>
        </is>
      </c>
      <c r="F897" s="3" t="inlineStr">
        <is>
          <t>https://www.kgau.ru</t>
        </is>
      </c>
      <c r="G897" s="3" t="inlineStr"/>
      <c r="H897" s="3" t="inlineStr"/>
      <c r="I897" s="3" t="inlineStr"/>
      <c r="J897" s="4" t="inlineStr">
        <is>
          <t>не в рейтинге</t>
        </is>
      </c>
      <c r="K897" s="4" t="inlineStr">
        <is>
          <t>не в рейтинге</t>
        </is>
      </c>
      <c r="L897" s="4" t="inlineStr">
        <is>
          <t>нет в опубл. списке (опубликован только топ-15 страны)</t>
        </is>
      </c>
      <c r="M897" s="4" t="inlineStr">
        <is>
          <t>RAEX-100 2026; МосМУР «Три миссии» 2025</t>
        </is>
      </c>
      <c r="N897" s="4" t="inlineStr">
        <is>
          <t>не в рейтинге</t>
        </is>
      </c>
      <c r="O897" s="4" t="inlineStr">
        <is>
          <t>https://raex-rr.com/education/russian_universities/top-100_universities/2026/ ; https://mosiur.org/ranking/</t>
        </is>
      </c>
      <c r="P897" s="4" t="n"/>
    </row>
    <row r="898">
      <c r="A898" s="3" t="inlineStr">
        <is>
          <t>Russia|Kuban State Agrarian University named after I.T. Trubilin (KubSAU)</t>
        </is>
      </c>
      <c r="B898" s="3" t="inlineStr">
        <is>
          <t>Russia</t>
        </is>
      </c>
      <c r="C898" s="3" t="inlineStr">
        <is>
          <t>Краснодар</t>
        </is>
      </c>
      <c r="D898" s="3" t="inlineStr">
        <is>
          <t>Kuban State Agrarian University named after I.T. Trubilin (KubSAU)</t>
        </is>
      </c>
      <c r="E898" s="3" t="inlineStr">
        <is>
          <t>Кубанский государственный аграрный университет имени И.Т. Трубилина (КубГАУ)</t>
        </is>
      </c>
      <c r="F898" s="3" t="inlineStr">
        <is>
          <t>https://kubsau.ru</t>
        </is>
      </c>
      <c r="G898" s="3" t="inlineStr"/>
      <c r="H898" s="3" t="inlineStr"/>
      <c r="I898" s="3" t="inlineStr">
        <is>
          <t>RAEX2026: 66</t>
        </is>
      </c>
      <c r="J898" s="4" t="inlineStr">
        <is>
          <t>не в рейтинге</t>
        </is>
      </c>
      <c r="K898" s="4" t="inlineStr">
        <is>
          <t>не в рейтинге</t>
        </is>
      </c>
      <c r="L898" s="4" t="inlineStr">
        <is>
          <t>нет в опубл. списке (опубликован только топ-15 страны)</t>
        </is>
      </c>
      <c r="M898" s="4" t="inlineStr">
        <is>
          <t>RAEX-100 2026</t>
        </is>
      </c>
      <c r="N898" s="4" t="inlineStr">
        <is>
          <t>66</t>
        </is>
      </c>
      <c r="O898" s="4" t="inlineStr">
        <is>
          <t>https://raex-rr.com/education/russian_universities/top-100_universities/2026/</t>
        </is>
      </c>
      <c r="P898" s="4" t="n"/>
    </row>
    <row r="899">
      <c r="A899" s="3" t="inlineStr">
        <is>
          <t>Russia|Kuban State Technological University (KubSTU)</t>
        </is>
      </c>
      <c r="B899" s="3" t="inlineStr">
        <is>
          <t>Russia</t>
        </is>
      </c>
      <c r="C899" s="3" t="inlineStr">
        <is>
          <t>Краснодар</t>
        </is>
      </c>
      <c r="D899" s="3" t="inlineStr">
        <is>
          <t>Kuban State Technological University (KubSTU)</t>
        </is>
      </c>
      <c r="E899" s="3" t="inlineStr">
        <is>
          <t>Кубанский государственный технологический университет</t>
        </is>
      </c>
      <c r="F899" s="3" t="inlineStr">
        <is>
          <t>https://kubstu.ru</t>
        </is>
      </c>
      <c r="G899" s="3" t="inlineStr"/>
      <c r="H899" s="3" t="inlineStr"/>
      <c r="I899" s="3" t="inlineStr"/>
      <c r="J899" s="4" t="inlineStr">
        <is>
          <t>не в рейтинге</t>
        </is>
      </c>
      <c r="K899" s="4" t="inlineStr">
        <is>
          <t>не в рейтинге</t>
        </is>
      </c>
      <c r="L899" s="4" t="inlineStr">
        <is>
          <t>нет в опубл. списке (опубликован только топ-15 страны)</t>
        </is>
      </c>
      <c r="M899" s="4" t="inlineStr">
        <is>
          <t>МосМУР «Три миссии университета» 2025 (мировой, место в мире)</t>
        </is>
      </c>
      <c r="N899" s="4" t="inlineStr">
        <is>
          <t>1751–2000</t>
        </is>
      </c>
      <c r="O899" s="4" t="inlineStr">
        <is>
          <t>https://mosiur.org/ranking/</t>
        </is>
      </c>
      <c r="P899" s="4" t="inlineStr">
        <is>
          <t>в RAEX-100 2026 отсутствует</t>
        </is>
      </c>
    </row>
    <row r="900">
      <c r="A900" s="3" t="inlineStr">
        <is>
          <t>Russia|Kuban State University (KubSU)</t>
        </is>
      </c>
      <c r="B900" s="3" t="inlineStr">
        <is>
          <t>Russia</t>
        </is>
      </c>
      <c r="C900" s="3" t="inlineStr">
        <is>
          <t>Краснодар</t>
        </is>
      </c>
      <c r="D900" s="3" t="inlineStr">
        <is>
          <t>Kuban State University (KubSU)</t>
        </is>
      </c>
      <c r="E900" s="3" t="inlineStr">
        <is>
          <t>Кубанский государственный университет (КубГУ)</t>
        </is>
      </c>
      <c r="F900" s="3" t="inlineStr">
        <is>
          <t>https://www.kubsu.ru</t>
        </is>
      </c>
      <c r="G900" s="3" t="inlineStr"/>
      <c r="H900" s="3" t="inlineStr"/>
      <c r="I900" s="3" t="inlineStr"/>
      <c r="J900" s="4" t="inlineStr">
        <is>
          <t>не в рейтинге</t>
        </is>
      </c>
      <c r="K900" s="4" t="inlineStr">
        <is>
          <t>не в рейтинге</t>
        </is>
      </c>
      <c r="L900" s="4" t="inlineStr">
        <is>
          <t>нет в опубл. списке (опубликован только топ-15 страны)</t>
        </is>
      </c>
      <c r="M900" s="4" t="inlineStr">
        <is>
          <t>МосМУР «Три миссии университета» 2025 (мировой, место в мире)</t>
        </is>
      </c>
      <c r="N900" s="4" t="inlineStr">
        <is>
          <t>1751–2000</t>
        </is>
      </c>
      <c r="O900" s="4" t="inlineStr">
        <is>
          <t>https://mosiur.org/ranking/</t>
        </is>
      </c>
      <c r="P900" s="4" t="inlineStr">
        <is>
          <t>в RAEX-100 2026 отсутствует</t>
        </is>
      </c>
    </row>
    <row r="901">
      <c r="A901" s="3" t="inlineStr">
        <is>
          <t>Russia|Kurgan State University</t>
        </is>
      </c>
      <c r="B901" s="3" t="inlineStr">
        <is>
          <t>Russia</t>
        </is>
      </c>
      <c r="C901" s="3" t="inlineStr">
        <is>
          <t>Курган</t>
        </is>
      </c>
      <c r="D901" s="3" t="inlineStr">
        <is>
          <t>Kurgan State University</t>
        </is>
      </c>
      <c r="E901" s="3" t="inlineStr">
        <is>
          <t>Курганский государственный университет</t>
        </is>
      </c>
      <c r="F901" s="3" t="inlineStr">
        <is>
          <t>https://kgsu.ru</t>
        </is>
      </c>
      <c r="G901" s="3" t="inlineStr"/>
      <c r="H901" s="3" t="inlineStr"/>
      <c r="I901" s="3" t="inlineStr"/>
      <c r="J901" s="4" t="inlineStr">
        <is>
          <t>не в рейтинге</t>
        </is>
      </c>
      <c r="K901" s="4" t="inlineStr">
        <is>
          <t>не в рейтинге</t>
        </is>
      </c>
      <c r="L901" s="4" t="inlineStr">
        <is>
          <t>нет в опубл. списке (опубликован только топ-15 страны)</t>
        </is>
      </c>
      <c r="M901" s="4" t="inlineStr">
        <is>
          <t>RAEX-100 2026; МосМУР «Три миссии» 2025</t>
        </is>
      </c>
      <c r="N901" s="4" t="inlineStr">
        <is>
          <t>не в рейтинге</t>
        </is>
      </c>
      <c r="O901" s="4" t="inlineStr">
        <is>
          <t>https://raex-rr.com/education/russian_universities/top-100_universities/2026/ ; https://mosiur.org/ranking/</t>
        </is>
      </c>
      <c r="P901" s="4" t="n"/>
    </row>
    <row r="902">
      <c r="A902" s="3" t="inlineStr">
        <is>
          <t>Russia|Lipetsk State Technical University</t>
        </is>
      </c>
      <c r="B902" s="3" t="inlineStr">
        <is>
          <t>Russia</t>
        </is>
      </c>
      <c r="C902" s="3" t="inlineStr">
        <is>
          <t>Липецк</t>
        </is>
      </c>
      <c r="D902" s="3" t="inlineStr">
        <is>
          <t>Lipetsk State Technical University</t>
        </is>
      </c>
      <c r="E902" s="3" t="inlineStr">
        <is>
          <t>Липецкий государственный технический университет</t>
        </is>
      </c>
      <c r="F902" s="3" t="inlineStr">
        <is>
          <t>https://stu.lipetsk.ru</t>
        </is>
      </c>
      <c r="G902" s="3" t="inlineStr"/>
      <c r="H902" s="3" t="inlineStr"/>
      <c r="I902" s="3" t="inlineStr"/>
      <c r="J902" s="4" t="inlineStr">
        <is>
          <t>не в рейтинге</t>
        </is>
      </c>
      <c r="K902" s="4" t="inlineStr">
        <is>
          <t>не в рейтинге</t>
        </is>
      </c>
      <c r="L902" s="4" t="inlineStr">
        <is>
          <t>нет в опубл. списке (опубликован только топ-15 страны)</t>
        </is>
      </c>
      <c r="M902" s="4" t="inlineStr">
        <is>
          <t>RAEX-100 2026; МосМУР «Три миссии» 2025</t>
        </is>
      </c>
      <c r="N902" s="4" t="inlineStr">
        <is>
          <t>не в рейтинге</t>
        </is>
      </c>
      <c r="O902" s="4" t="inlineStr">
        <is>
          <t>https://raex-rr.com/education/russian_universities/top-100_universities/2026/ ; https://mosiur.org/ranking/</t>
        </is>
      </c>
      <c r="P902" s="4" t="n"/>
    </row>
    <row r="903">
      <c r="A903" s="3" t="inlineStr">
        <is>
          <t>Russia|Lomonosov Moscow State University</t>
        </is>
      </c>
      <c r="B903" s="3" t="inlineStr">
        <is>
          <t>Russia</t>
        </is>
      </c>
      <c r="C903" s="3" t="inlineStr">
        <is>
          <t>Москва</t>
        </is>
      </c>
      <c r="D903" s="3" t="inlineStr">
        <is>
          <t>Lomonosov Moscow State University</t>
        </is>
      </c>
      <c r="E903" s="3" t="inlineStr">
        <is>
          <t>Московский государственный университет имени М.В. Ломоносова</t>
        </is>
      </c>
      <c r="F903" s="3" t="inlineStr">
        <is>
          <t>https://www.msu.ru</t>
        </is>
      </c>
      <c r="G903" s="3" t="inlineStr">
        <is>
          <t>QS2027: 115</t>
        </is>
      </c>
      <c r="H903" s="3" t="inlineStr"/>
      <c r="I903" s="3" t="inlineStr">
        <is>
          <t>RAEX2026: 1</t>
        </is>
      </c>
      <c r="J903" s="4">
        <f>115</f>
        <v/>
      </c>
      <c r="K903" s="4" t="inlineStr">
        <is>
          <t>не в рейтинге</t>
        </is>
      </c>
      <c r="L903" s="4" t="inlineStr">
        <is>
          <t>300</t>
        </is>
      </c>
      <c r="M903" s="4" t="inlineStr">
        <is>
          <t>RAEX-100 2026</t>
        </is>
      </c>
      <c r="N903" s="4" t="inlineStr">
        <is>
          <t>1</t>
        </is>
      </c>
      <c r="O903" s="4" t="inlineStr">
        <is>
          <t>https://www.topuniversities.com/world-university-rankings (QS WUR 2027)
https://figshare.com/articles/preprint/Ranking_Web_of_Universities_webometrics_info_July_2026_edition/33062150
https://raex-rr.com/education/russian_universities/top-100_universities/2026/</t>
        </is>
      </c>
      <c r="P903" s="4" t="n"/>
    </row>
    <row r="904">
      <c r="A904" s="3" t="inlineStr">
        <is>
          <t>Russia|MGIMO University (Moscow State Institute of International Relations of the Ministry of Foreign Affairs of the Russian Federation)</t>
        </is>
      </c>
      <c r="B904" s="3" t="inlineStr">
        <is>
          <t>Russia</t>
        </is>
      </c>
      <c r="C904" s="3" t="inlineStr">
        <is>
          <t>Москва</t>
        </is>
      </c>
      <c r="D904" s="3" t="inlineStr">
        <is>
          <t>MGIMO University (Moscow State Institute of International Relations of the Ministry of Foreign Affairs of the Russian Federation)</t>
        </is>
      </c>
      <c r="E904" s="3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 (МГИМО МИД России)</t>
        </is>
      </c>
      <c r="F904" s="3" t="inlineStr">
        <is>
          <t>https://mgimo.ru</t>
        </is>
      </c>
      <c r="G904" s="3" t="inlineStr"/>
      <c r="H904" s="3" t="inlineStr"/>
      <c r="I904" s="3" t="inlineStr">
        <is>
          <t>RAEX2026: 7</t>
        </is>
      </c>
      <c r="J904" s="4">
        <f>639</f>
        <v/>
      </c>
      <c r="K904" s="4" t="inlineStr">
        <is>
          <t>не в рейтинге</t>
        </is>
      </c>
      <c r="L904" s="4" t="inlineStr">
        <is>
          <t>нет в опубл. списке (опубликован только топ-15 страны)</t>
        </is>
      </c>
      <c r="M904" s="4" t="inlineStr">
        <is>
          <t>RAEX-100 2026; МосМУР «Три миссии» 2025</t>
        </is>
      </c>
      <c r="N904" s="4" t="inlineStr">
        <is>
          <t>не в рейтинге</t>
        </is>
      </c>
      <c r="O904" s="4" t="inlineStr">
        <is>
          <t>https://www.topuniversities.com/world-university-rankings (QS WUR 2027)
https://raex-rr.com/education/russian_universities/top-100_universities/2026/ ; https://mosiur.org/ranking/</t>
        </is>
      </c>
      <c r="P904" s="4" t="n"/>
    </row>
    <row r="905">
      <c r="A905" s="3" t="inlineStr">
        <is>
          <t>Russia|MIREA – Russian Technological University (RTU MIREA)</t>
        </is>
      </c>
      <c r="B905" s="3" t="inlineStr">
        <is>
          <t>Russia</t>
        </is>
      </c>
      <c r="C905" s="3" t="inlineStr">
        <is>
          <t>Москва</t>
        </is>
      </c>
      <c r="D905" s="3" t="inlineStr">
        <is>
          <t>MIREA – Russian Technological University (RTU MIREA)</t>
        </is>
      </c>
      <c r="E905" s="3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905" s="3" t="inlineStr">
        <is>
          <t>https://www.mirea.ru</t>
        </is>
      </c>
      <c r="G905" s="3" t="inlineStr"/>
      <c r="H905" s="3" t="inlineStr">
        <is>
          <t>THE2027: 2001+</t>
        </is>
      </c>
      <c r="I905" s="3" t="inlineStr">
        <is>
          <t>RAEX2026: 37</t>
        </is>
      </c>
      <c r="J905" s="4" t="inlineStr">
        <is>
          <t>не в рейтинге</t>
        </is>
      </c>
      <c r="K905" s="4" t="inlineStr">
        <is>
          <t>2001+</t>
        </is>
      </c>
      <c r="L905" s="4" t="inlineStr">
        <is>
          <t>нет в опубл. списке (опубликован только топ-15 страны)</t>
        </is>
      </c>
      <c r="M905" s="4" t="inlineStr">
        <is>
          <t>RAEX-100 2026</t>
        </is>
      </c>
      <c r="N905" s="4" t="inlineStr">
        <is>
          <t>37</t>
        </is>
      </c>
      <c r="O905" s="4" t="inlineStr">
        <is>
          <t>https://www.timeshighereducation.com/world-university-rankings/2027/world-ranking
https://raex-rr.com/education/russian_universities/top-100_universities/2026/</t>
        </is>
      </c>
      <c r="P905" s="4" t="n"/>
    </row>
    <row r="906">
      <c r="A906" s="3" t="inlineStr">
        <is>
          <t>Russia|Mari State University</t>
        </is>
      </c>
      <c r="B906" s="3" t="inlineStr">
        <is>
          <t>Russia</t>
        </is>
      </c>
      <c r="C906" s="3" t="inlineStr">
        <is>
          <t>Йошкар-Ола</t>
        </is>
      </c>
      <c r="D906" s="3" t="inlineStr">
        <is>
          <t>Mari State University</t>
        </is>
      </c>
      <c r="E906" s="3" t="inlineStr">
        <is>
          <t>Марийский государственный университет</t>
        </is>
      </c>
      <c r="F906" s="3" t="inlineStr">
        <is>
          <t>https://marsu.ru</t>
        </is>
      </c>
      <c r="G906" s="3" t="inlineStr"/>
      <c r="H906" s="3" t="inlineStr"/>
      <c r="I906" s="3" t="inlineStr"/>
      <c r="J906" s="4" t="inlineStr">
        <is>
          <t>не в рейтинге</t>
        </is>
      </c>
      <c r="K906" s="4" t="inlineStr">
        <is>
          <t>не в рейтинге</t>
        </is>
      </c>
      <c r="L906" s="4" t="inlineStr">
        <is>
          <t>нет в опубл. списке (опубликован только топ-15 страны)</t>
        </is>
      </c>
      <c r="M906" s="4" t="inlineStr">
        <is>
          <t>RAEX-100 2026; МосМУР «Три миссии» 2025</t>
        </is>
      </c>
      <c r="N906" s="4" t="inlineStr">
        <is>
          <t>не в рейтинге</t>
        </is>
      </c>
      <c r="O906" s="4" t="inlineStr">
        <is>
          <t>https://raex-rr.com/education/russian_universities/top-100_universities/2026/ ; https://mosiur.org/ranking/</t>
        </is>
      </c>
      <c r="P906" s="4" t="n"/>
    </row>
    <row r="907">
      <c r="A907" s="3" t="inlineStr">
        <is>
          <t>Russia|Moscow Automobile and Road Construction State Technical University (MADI)</t>
        </is>
      </c>
      <c r="B907" s="3" t="inlineStr">
        <is>
          <t>Russia</t>
        </is>
      </c>
      <c r="C907" s="3" t="inlineStr">
        <is>
          <t>Москва</t>
        </is>
      </c>
      <c r="D907" s="3" t="inlineStr">
        <is>
          <t>Moscow Automobile and Road Construction State Technical University (MADI)</t>
        </is>
      </c>
      <c r="E907" s="3" t="inlineStr">
        <is>
          <t>Московский автомобильно-дорожный государственный технический университет (МАДИ)</t>
        </is>
      </c>
      <c r="F907" s="3" t="inlineStr">
        <is>
          <t>https://madi.ru</t>
        </is>
      </c>
      <c r="G907" s="3" t="inlineStr"/>
      <c r="H907" s="3" t="inlineStr"/>
      <c r="I907" s="3" t="inlineStr">
        <is>
          <t>RAEX2026: 74</t>
        </is>
      </c>
      <c r="J907" s="4" t="inlineStr">
        <is>
          <t>не в рейтинге</t>
        </is>
      </c>
      <c r="K907" s="4" t="inlineStr">
        <is>
          <t>не в рейтинге</t>
        </is>
      </c>
      <c r="L907" s="4" t="inlineStr">
        <is>
          <t>нет в опубл. списке (опубликован только топ-15 страны)</t>
        </is>
      </c>
      <c r="M907" s="4" t="inlineStr">
        <is>
          <t>RAEX-100 2026</t>
        </is>
      </c>
      <c r="N907" s="4" t="inlineStr">
        <is>
          <t>74</t>
        </is>
      </c>
      <c r="O907" s="4" t="inlineStr">
        <is>
          <t>https://raex-rr.com/education/russian_universities/top-100_universities/2026/</t>
        </is>
      </c>
      <c r="P907" s="4" t="n"/>
    </row>
    <row r="908">
      <c r="A908" s="3" t="inlineStr">
        <is>
          <t>Russia|Moscow Aviation Institute</t>
        </is>
      </c>
      <c r="B908" s="3" t="inlineStr">
        <is>
          <t>Russia</t>
        </is>
      </c>
      <c r="C908" s="3" t="inlineStr">
        <is>
          <t>Москва</t>
        </is>
      </c>
      <c r="D908" s="3" t="inlineStr">
        <is>
          <t>Moscow Aviation Institute</t>
        </is>
      </c>
      <c r="E908" s="3" t="inlineStr">
        <is>
          <t>Московский авиационный институт (национальный исследовательский университет)</t>
        </is>
      </c>
      <c r="F908" s="3" t="inlineStr">
        <is>
          <t>https://mai.ru</t>
        </is>
      </c>
      <c r="G908" s="3" t="inlineStr"/>
      <c r="H908" s="3" t="inlineStr">
        <is>
          <t>THE2027: 1801–2000</t>
        </is>
      </c>
      <c r="I908" s="3" t="inlineStr">
        <is>
          <t>RAEX2026: 22</t>
        </is>
      </c>
      <c r="J908" s="4" t="inlineStr">
        <is>
          <t>не в рейтинге</t>
        </is>
      </c>
      <c r="K908" s="4" t="inlineStr">
        <is>
          <t>1801–2000</t>
        </is>
      </c>
      <c r="L908" s="4" t="inlineStr">
        <is>
          <t>нет в опубл. списке (опубликован только топ-15 страны)</t>
        </is>
      </c>
      <c r="M908" s="4" t="inlineStr">
        <is>
          <t>RAEX-100 2026</t>
        </is>
      </c>
      <c r="N908" s="4" t="inlineStr">
        <is>
          <t>22</t>
        </is>
      </c>
      <c r="O908" s="4" t="inlineStr">
        <is>
          <t>https://www.timeshighereducation.com/world-university-rankings/2027/world-ranking
https://raex-rr.com/education/russian_universities/top-100_universities/2026/</t>
        </is>
      </c>
      <c r="P908" s="4" t="n"/>
    </row>
    <row r="909">
      <c r="A909" s="3" t="inlineStr">
        <is>
          <t>Russia|Moscow City University (MCU)</t>
        </is>
      </c>
      <c r="B909" s="3" t="inlineStr">
        <is>
          <t>Russia</t>
        </is>
      </c>
      <c r="C909" s="3" t="inlineStr">
        <is>
          <t>Москва</t>
        </is>
      </c>
      <c r="D909" s="3" t="inlineStr">
        <is>
          <t>Moscow City University (MCU)</t>
        </is>
      </c>
      <c r="E909" s="3" t="inlineStr">
        <is>
          <t>Московский городской педагогический университет (МГПУ)</t>
        </is>
      </c>
      <c r="F909" s="3" t="inlineStr">
        <is>
          <t>https://www.mgpu.ru</t>
        </is>
      </c>
      <c r="G909" s="3" t="inlineStr"/>
      <c r="H909" s="3" t="inlineStr"/>
      <c r="I909" s="3" t="inlineStr">
        <is>
          <t>RAEX2026: 44</t>
        </is>
      </c>
      <c r="J909" s="4" t="inlineStr">
        <is>
          <t>не в рейтинге</t>
        </is>
      </c>
      <c r="K909" s="4" t="inlineStr">
        <is>
          <t>Reporter</t>
        </is>
      </c>
      <c r="L909" s="4" t="inlineStr">
        <is>
          <t>нет в опубл. списке (опубликован только топ-15 страны)</t>
        </is>
      </c>
      <c r="M909" s="4" t="inlineStr">
        <is>
          <t>RAEX-100 2026</t>
        </is>
      </c>
      <c r="N909" s="4" t="inlineStr">
        <is>
          <t>44</t>
        </is>
      </c>
      <c r="O909" s="4" t="inlineStr">
        <is>
          <t>https://www.timeshighereducation.com/world-university-rankings/2027/world-ranking
https://raex-rr.com/education/russian_universities/top-100_universities/2026/</t>
        </is>
      </c>
      <c r="P909" s="4" t="n"/>
    </row>
    <row r="910">
      <c r="A910" s="3" t="inlineStr">
        <is>
          <t>Russia|Moscow Institute of Physics and Technology (National Research University) (MIPT)</t>
        </is>
      </c>
      <c r="B910" s="3" t="inlineStr">
        <is>
          <t>Russia</t>
        </is>
      </c>
      <c r="C910" s="3" t="inlineStr">
        <is>
          <t>Долгопрудный</t>
        </is>
      </c>
      <c r="D910" s="3" t="inlineStr">
        <is>
          <t>Moscow Institute of Physics and Technology (National Research University) (MIPT)</t>
        </is>
      </c>
      <c r="E910" s="3" t="inlineStr">
        <is>
          <t>Московский физико-технический институт (национальный исследовательский университет) (МФТИ)</t>
        </is>
      </c>
      <c r="F910" s="3" t="inlineStr">
        <is>
          <t>https://mipt.ru</t>
        </is>
      </c>
      <c r="G910" s="3" t="inlineStr">
        <is>
          <t>QS2027: 504</t>
        </is>
      </c>
      <c r="H910" s="3" t="inlineStr">
        <is>
          <t>THE2027: 401–450</t>
        </is>
      </c>
      <c r="I910" s="3" t="inlineStr">
        <is>
          <t>RAEX2026: 3</t>
        </is>
      </c>
      <c r="J910" s="4">
        <f>504</f>
        <v/>
      </c>
      <c r="K910" s="4" t="inlineStr">
        <is>
          <t>401–450</t>
        </is>
      </c>
      <c r="L910" s="4" t="inlineStr">
        <is>
          <t>870</t>
        </is>
      </c>
      <c r="M910" s="4" t="inlineStr">
        <is>
          <t>RAEX-100 2026</t>
        </is>
      </c>
      <c r="N910" s="4" t="inlineStr">
        <is>
          <t>3</t>
        </is>
      </c>
      <c r="O91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10" s="4" t="n"/>
    </row>
    <row r="911">
      <c r="A911" s="3" t="inlineStr">
        <is>
          <t>Russia|Moscow Polytechnic University (Moscow Polytech)</t>
        </is>
      </c>
      <c r="B911" s="3" t="inlineStr">
        <is>
          <t>Russia</t>
        </is>
      </c>
      <c r="C911" s="3" t="inlineStr">
        <is>
          <t>Москва</t>
        </is>
      </c>
      <c r="D911" s="3" t="inlineStr">
        <is>
          <t>Moscow Polytechnic University (Moscow Polytech)</t>
        </is>
      </c>
      <c r="E911" s="3" t="inlineStr">
        <is>
          <t>Московский политехнический университет (Московский Политех)</t>
        </is>
      </c>
      <c r="F911" s="3" t="inlineStr">
        <is>
          <t>https://mospolytech.ru</t>
        </is>
      </c>
      <c r="G911" s="3" t="inlineStr"/>
      <c r="H911" s="3" t="inlineStr">
        <is>
          <t>THE2027: 1801–2000</t>
        </is>
      </c>
      <c r="I911" s="3" t="inlineStr">
        <is>
          <t>RAEX2026: 80</t>
        </is>
      </c>
      <c r="J911" s="4" t="inlineStr">
        <is>
          <t>не в рейтинге</t>
        </is>
      </c>
      <c r="K911" s="4" t="inlineStr">
        <is>
          <t>1801–2000</t>
        </is>
      </c>
      <c r="L911" s="4" t="inlineStr">
        <is>
          <t>нет в опубл. списке (опубликован только топ-15 страны)</t>
        </is>
      </c>
      <c r="M911" s="4" t="inlineStr">
        <is>
          <t>RAEX-100 2026</t>
        </is>
      </c>
      <c r="N911" s="4" t="inlineStr">
        <is>
          <t>80</t>
        </is>
      </c>
      <c r="O911" s="4" t="inlineStr">
        <is>
          <t>https://www.timeshighereducation.com/world-university-rankings/2027/world-ranking
https://raex-rr.com/education/russian_universities/top-100_universities/2026/</t>
        </is>
      </c>
      <c r="P911" s="4" t="n"/>
    </row>
    <row r="912">
      <c r="A912" s="3" t="inlineStr">
        <is>
          <t>Russia|Moscow State Pedagogical University</t>
        </is>
      </c>
      <c r="B912" s="3" t="inlineStr">
        <is>
          <t>Russia</t>
        </is>
      </c>
      <c r="C912" s="3" t="inlineStr">
        <is>
          <t>Москва</t>
        </is>
      </c>
      <c r="D912" s="3" t="inlineStr">
        <is>
          <t>Moscow State Pedagogical University</t>
        </is>
      </c>
      <c r="E912" s="3" t="inlineStr">
        <is>
          <t>Московский педагогический государственный университет</t>
        </is>
      </c>
      <c r="F912" s="3" t="inlineStr">
        <is>
          <t>https://mpgu.su</t>
        </is>
      </c>
      <c r="G912" s="3" t="inlineStr"/>
      <c r="H912" s="3" t="inlineStr"/>
      <c r="I912" s="3" t="inlineStr">
        <is>
          <t>RAEX2026: 32</t>
        </is>
      </c>
      <c r="J912" s="4" t="inlineStr">
        <is>
          <t>не в рейтинге</t>
        </is>
      </c>
      <c r="K912" s="4" t="inlineStr">
        <is>
          <t>не в рейтинге</t>
        </is>
      </c>
      <c r="L912" s="4" t="inlineStr">
        <is>
          <t>нет в опубл. списке (опубликован только топ-15 страны)</t>
        </is>
      </c>
      <c r="M912" s="4" t="inlineStr">
        <is>
          <t>RAEX-100 2026</t>
        </is>
      </c>
      <c r="N912" s="4" t="inlineStr">
        <is>
          <t>32</t>
        </is>
      </c>
      <c r="O912" s="4" t="inlineStr">
        <is>
          <t>https://raex-rr.com/education/russian_universities/top-100_universities/2026/</t>
        </is>
      </c>
      <c r="P912" s="4" t="n"/>
    </row>
    <row r="913">
      <c r="A913" s="3" t="inlineStr">
        <is>
          <t>Russia|Moscow State University of Civil Engineering (National Research University) (MGSU)</t>
        </is>
      </c>
      <c r="B913" s="3" t="inlineStr">
        <is>
          <t>Russia</t>
        </is>
      </c>
      <c r="C913" s="3" t="inlineStr">
        <is>
          <t>Москва</t>
        </is>
      </c>
      <c r="D913" s="3" t="inlineStr">
        <is>
          <t>Moscow State University of Civil Engineering (National Research University) (MGSU)</t>
        </is>
      </c>
      <c r="E913" s="3" t="inlineStr">
        <is>
          <t>Национальный исследовательский Московский государственный строительный университет</t>
        </is>
      </c>
      <c r="F913" s="3" t="inlineStr">
        <is>
          <t>https://mgsu.ru</t>
        </is>
      </c>
      <c r="G913" s="3" t="inlineStr"/>
      <c r="H913" s="3" t="inlineStr"/>
      <c r="I913" s="3" t="inlineStr">
        <is>
          <t>RAEX2026: 30</t>
        </is>
      </c>
      <c r="J913" s="4" t="inlineStr">
        <is>
          <t>не в рейтинге</t>
        </is>
      </c>
      <c r="K913" s="4" t="inlineStr">
        <is>
          <t>не в рейтинге</t>
        </is>
      </c>
      <c r="L913" s="4" t="inlineStr">
        <is>
          <t>нет в опубл. списке (опубликован только топ-15 страны)</t>
        </is>
      </c>
      <c r="M913" s="4" t="inlineStr">
        <is>
          <t>RAEX-100 2026</t>
        </is>
      </c>
      <c r="N913" s="4" t="inlineStr">
        <is>
          <t>30</t>
        </is>
      </c>
      <c r="O913" s="4" t="inlineStr">
        <is>
          <t>https://raex-rr.com/education/russian_universities/top-100_universities/2026/</t>
        </is>
      </c>
      <c r="P913" s="4" t="n"/>
    </row>
    <row r="914">
      <c r="A914" s="3" t="inlineStr">
        <is>
          <t>Russia|Moscow State University of Geodesy and Cartography (MIIGAiK)</t>
        </is>
      </c>
      <c r="B914" s="3" t="inlineStr">
        <is>
          <t>Russia</t>
        </is>
      </c>
      <c r="C914" s="3" t="inlineStr">
        <is>
          <t>Москва</t>
        </is>
      </c>
      <c r="D914" s="3" t="inlineStr">
        <is>
          <t>Moscow State University of Geodesy and Cartography (MIIGAiK)</t>
        </is>
      </c>
      <c r="E914" s="3" t="inlineStr">
        <is>
          <t>Московский государственный университет геодезии и картографии (МИИГАиК)</t>
        </is>
      </c>
      <c r="F914" s="3" t="inlineStr">
        <is>
          <t>https://www.miigaik.ru</t>
        </is>
      </c>
      <c r="G914" s="3" t="inlineStr"/>
      <c r="H914" s="3" t="inlineStr"/>
      <c r="I914" s="3" t="inlineStr"/>
      <c r="J914" s="4" t="inlineStr">
        <is>
          <t>не в рейтинге</t>
        </is>
      </c>
      <c r="K914" s="4" t="inlineStr">
        <is>
          <t>не в рейтинге</t>
        </is>
      </c>
      <c r="L914" s="4" t="inlineStr">
        <is>
          <t>нет в опубл. списке (опубликован только топ-15 страны)</t>
        </is>
      </c>
      <c r="M914" s="4" t="inlineStr">
        <is>
          <t>RAEX-100 2026; МосМУР «Три миссии» 2025</t>
        </is>
      </c>
      <c r="N914" s="4" t="inlineStr">
        <is>
          <t>не в рейтинге</t>
        </is>
      </c>
      <c r="O914" s="4" t="inlineStr">
        <is>
          <t>https://raex-rr.com/education/russian_universities/top-100_universities/2026/ ; https://mosiur.org/ranking/</t>
        </is>
      </c>
      <c r="P914" s="4" t="n"/>
    </row>
    <row r="915">
      <c r="A915" s="3" t="inlineStr">
        <is>
          <t>Russia|Moscow State University of Technology "STANKIN"</t>
        </is>
      </c>
      <c r="B915" s="3" t="inlineStr">
        <is>
          <t>Russia</t>
        </is>
      </c>
      <c r="C915" s="3" t="inlineStr">
        <is>
          <t>Москва</t>
        </is>
      </c>
      <c r="D915" s="3" t="inlineStr">
        <is>
          <t>Moscow State University of Technology "STANKIN"</t>
        </is>
      </c>
      <c r="E915" s="3" t="inlineStr">
        <is>
          <t>Московский государственный технологический университет «СТАНКИН» (МГТУ «СТАНКИН»)</t>
        </is>
      </c>
      <c r="F915" s="3" t="inlineStr">
        <is>
          <t>https://stankin.ru</t>
        </is>
      </c>
      <c r="G915" s="3" t="inlineStr"/>
      <c r="H915" s="3" t="inlineStr"/>
      <c r="I915" s="3" t="inlineStr">
        <is>
          <t>RAEX2026: 60</t>
        </is>
      </c>
      <c r="J915" s="4" t="inlineStr">
        <is>
          <t>не в рейтинге</t>
        </is>
      </c>
      <c r="K915" s="4" t="inlineStr">
        <is>
          <t>не в рейтинге</t>
        </is>
      </c>
      <c r="L915" s="4" t="inlineStr">
        <is>
          <t>нет в опубл. списке (опубликован только топ-15 страны)</t>
        </is>
      </c>
      <c r="M915" s="4" t="inlineStr">
        <is>
          <t>RAEX-100 2026</t>
        </is>
      </c>
      <c r="N915" s="4" t="inlineStr">
        <is>
          <t>60</t>
        </is>
      </c>
      <c r="O915" s="4" t="inlineStr">
        <is>
          <t>https://raex-rr.com/education/russian_universities/top-100_universities/2026/</t>
        </is>
      </c>
      <c r="P915" s="4" t="n"/>
    </row>
    <row r="916">
      <c r="A916" s="3" t="inlineStr">
        <is>
          <t>Russia|Moscow Technical University of Communications and Informatics (MTUCI)</t>
        </is>
      </c>
      <c r="B916" s="3" t="inlineStr">
        <is>
          <t>Russia</t>
        </is>
      </c>
      <c r="C916" s="3" t="inlineStr">
        <is>
          <t>Москва</t>
        </is>
      </c>
      <c r="D916" s="3" t="inlineStr">
        <is>
          <t>Moscow Technical University of Communications and Informatics (MTUCI)</t>
        </is>
      </c>
      <c r="E916" s="3" t="inlineStr">
        <is>
          <t>Московский технический университет связи и информатики (МТУСИ)</t>
        </is>
      </c>
      <c r="F916" s="3" t="inlineStr">
        <is>
          <t>https://mtuci.ru</t>
        </is>
      </c>
      <c r="G916" s="3" t="inlineStr"/>
      <c r="H916" s="3" t="inlineStr">
        <is>
          <t>THE2027: 1001–1200</t>
        </is>
      </c>
      <c r="I916" s="3" t="inlineStr">
        <is>
          <t>RAEX2026: 99</t>
        </is>
      </c>
      <c r="J916" s="4" t="inlineStr">
        <is>
          <t>не в рейтинге</t>
        </is>
      </c>
      <c r="K916" s="4" t="inlineStr">
        <is>
          <t>1001–1200</t>
        </is>
      </c>
      <c r="L916" s="4" t="inlineStr">
        <is>
          <t>нет в опубл. списке (опубликован только топ-15 страны)</t>
        </is>
      </c>
      <c r="M916" s="4" t="inlineStr">
        <is>
          <t>RAEX-100 2026</t>
        </is>
      </c>
      <c r="N916" s="4" t="inlineStr">
        <is>
          <t>99</t>
        </is>
      </c>
      <c r="O916" s="4" t="inlineStr">
        <is>
          <t>https://www.timeshighereducation.com/world-university-rankings/2027/world-ranking
https://raex-rr.com/education/russian_universities/top-100_universities/2026/</t>
        </is>
      </c>
      <c r="P916" s="4" t="n"/>
    </row>
    <row r="917">
      <c r="A917" s="3" t="inlineStr">
        <is>
          <t>Russia|National Research Lobachevsky State University of Nizhny Novgorod (Lobachevsky University, UNN)</t>
        </is>
      </c>
      <c r="B917" s="3" t="inlineStr">
        <is>
          <t>Russia</t>
        </is>
      </c>
      <c r="C917" s="3" t="inlineStr">
        <is>
          <t>Нижний Новгород</t>
        </is>
      </c>
      <c r="D917" s="3" t="inlineStr">
        <is>
          <t>National Research Lobachevsky State University of Nizhny Novgorod (Lobachevsky University, UNN)</t>
        </is>
      </c>
      <c r="E917" s="3" t="inlineStr">
        <is>
          <t>Национальный исследовательский Нижегородский государственный университет им. Н.И. Лобачевского</t>
        </is>
      </c>
      <c r="F917" s="3" t="inlineStr">
        <is>
          <t>http://www.unn.ru</t>
        </is>
      </c>
      <c r="G917" s="3" t="inlineStr"/>
      <c r="H917" s="3" t="inlineStr">
        <is>
          <t>THE2027: 1801–2000</t>
        </is>
      </c>
      <c r="I917" s="3" t="inlineStr">
        <is>
          <t>RAEX2026: 36</t>
        </is>
      </c>
      <c r="J917" s="4" t="inlineStr">
        <is>
          <t>не в рейтинге</t>
        </is>
      </c>
      <c r="K917" s="4" t="inlineStr">
        <is>
          <t>1801–2000</t>
        </is>
      </c>
      <c r="L917" s="4" t="inlineStr">
        <is>
          <t>нет в опубл. списке (опубликован только топ-15 страны)</t>
        </is>
      </c>
      <c r="M917" s="4" t="inlineStr">
        <is>
          <t>RAEX-100 2026</t>
        </is>
      </c>
      <c r="N917" s="4" t="inlineStr">
        <is>
          <t>36</t>
        </is>
      </c>
      <c r="O917" s="4" t="inlineStr">
        <is>
          <t>https://www.timeshighereducation.com/world-university-rankings/2027/world-ranking
https://raex-rr.com/education/russian_universities/top-100_universities/2026/</t>
        </is>
      </c>
      <c r="P917" s="4" t="inlineStr">
        <is>
          <t>THE: в таблице как «Lobachevsky State University of Nizhni Novgorod»</t>
        </is>
      </c>
    </row>
    <row r="918">
      <c r="A918" s="3" t="inlineStr">
        <is>
          <t>Russia|National Research Nuclear University MEPhI</t>
        </is>
      </c>
      <c r="B918" s="3" t="inlineStr">
        <is>
          <t>Russia</t>
        </is>
      </c>
      <c r="C918" s="3" t="inlineStr">
        <is>
          <t>Москва</t>
        </is>
      </c>
      <c r="D918" s="3" t="inlineStr">
        <is>
          <t>National Research Nuclear University MEPhI</t>
        </is>
      </c>
      <c r="E918" s="3" t="inlineStr">
        <is>
          <t>Национальный исследовательский ядерный университет «МИФИ»</t>
        </is>
      </c>
      <c r="F918" s="3" t="inlineStr">
        <is>
          <t>https://mephi.ru</t>
        </is>
      </c>
      <c r="G918" s="3" t="inlineStr">
        <is>
          <t>QS2027: 626</t>
        </is>
      </c>
      <c r="H918" s="3" t="inlineStr">
        <is>
          <t>THE2027: 801–1000</t>
        </is>
      </c>
      <c r="I918" s="3" t="inlineStr">
        <is>
          <t>RAEX2026: 5</t>
        </is>
      </c>
      <c r="J918" s="4">
        <f>626</f>
        <v/>
      </c>
      <c r="K918" s="4" t="inlineStr">
        <is>
          <t>801–1000</t>
        </is>
      </c>
      <c r="L918" s="4" t="inlineStr">
        <is>
          <t>1132</t>
        </is>
      </c>
      <c r="M918" s="4" t="inlineStr">
        <is>
          <t>RAEX-100 2026</t>
        </is>
      </c>
      <c r="N918" s="4" t="inlineStr">
        <is>
          <t>5</t>
        </is>
      </c>
      <c r="O91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18" s="4" t="n"/>
    </row>
    <row r="919">
      <c r="A919" s="3" t="inlineStr">
        <is>
          <t>Russia|National Research Ogarev Mordovia State University</t>
        </is>
      </c>
      <c r="B919" s="3" t="inlineStr">
        <is>
          <t>Russia</t>
        </is>
      </c>
      <c r="C919" s="3" t="inlineStr">
        <is>
          <t>Саранск</t>
        </is>
      </c>
      <c r="D919" s="3" t="inlineStr">
        <is>
          <t>National Research Ogarev Mordovia State University</t>
        </is>
      </c>
      <c r="E919" s="3" t="inlineStr">
        <is>
          <t>Национальный исследовательский Мордовский государственный университет им. Н.П. Огарёва (МГУ им. Н.П. Огарёва)</t>
        </is>
      </c>
      <c r="F919" s="3" t="inlineStr">
        <is>
          <t>https://mrsu.ru</t>
        </is>
      </c>
      <c r="G919" s="3" t="inlineStr"/>
      <c r="H919" s="3" t="inlineStr">
        <is>
          <t>THE2027: 2001+</t>
        </is>
      </c>
      <c r="I919" s="3" t="inlineStr"/>
      <c r="J919" s="4" t="inlineStr">
        <is>
          <t>не в рейтинге</t>
        </is>
      </c>
      <c r="K919" s="4" t="inlineStr">
        <is>
          <t>2001+</t>
        </is>
      </c>
      <c r="L919" s="4" t="inlineStr">
        <is>
          <t>нет в опубл. списке (опубликован только топ-15 страны)</t>
        </is>
      </c>
      <c r="M919" s="4" t="inlineStr">
        <is>
          <t>МосМУР «Три миссии университета» 2025 (мировой, место в мире)</t>
        </is>
      </c>
      <c r="N919" s="4" t="inlineStr">
        <is>
          <t>1501–1750</t>
        </is>
      </c>
      <c r="O919" s="4" t="inlineStr">
        <is>
          <t>https://www.timeshighereducation.com/world-university-rankings/2027/world-ranking
https://mosiur.org/ranking/</t>
        </is>
      </c>
      <c r="P919" s="4" t="inlineStr">
        <is>
          <t>THE: в таблице как «Ogarev Mordovia State University»; в RAEX-100 2026 отсутствует</t>
        </is>
      </c>
    </row>
    <row r="920">
      <c r="A920" s="3" t="inlineStr">
        <is>
          <t>Russia|National Research Tomsk Polytechnic University</t>
        </is>
      </c>
      <c r="B920" s="3" t="inlineStr">
        <is>
          <t>Russia</t>
        </is>
      </c>
      <c r="C920" s="3" t="inlineStr">
        <is>
          <t>Томск</t>
        </is>
      </c>
      <c r="D920" s="3" t="inlineStr">
        <is>
          <t>National Research Tomsk Polytechnic University</t>
        </is>
      </c>
      <c r="E920" s="3" t="inlineStr">
        <is>
          <t>Национальный исследовательский Томский политехнический университет</t>
        </is>
      </c>
      <c r="F920" s="3" t="inlineStr">
        <is>
          <t>https://tpu.ru</t>
        </is>
      </c>
      <c r="G920" s="3" t="inlineStr">
        <is>
          <t>QS2027: 741–750</t>
        </is>
      </c>
      <c r="H920" s="3" t="inlineStr">
        <is>
          <t>THE2027: 1001–1200</t>
        </is>
      </c>
      <c r="I920" s="3" t="inlineStr">
        <is>
          <t>RAEX2026: 13</t>
        </is>
      </c>
      <c r="J920" s="4" t="inlineStr">
        <is>
          <t>741–750</t>
        </is>
      </c>
      <c r="K920" s="4" t="inlineStr">
        <is>
          <t>1001–1200</t>
        </is>
      </c>
      <c r="L920" s="4" t="inlineStr">
        <is>
          <t>1312</t>
        </is>
      </c>
      <c r="M920" s="4" t="inlineStr">
        <is>
          <t>RAEX-100 2026</t>
        </is>
      </c>
      <c r="N920" s="4" t="inlineStr">
        <is>
          <t>13</t>
        </is>
      </c>
      <c r="O92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20" s="4" t="inlineStr">
        <is>
          <t>THE: в таблице как «Tomsk Polytechnic University»</t>
        </is>
      </c>
    </row>
    <row r="921">
      <c r="A921" s="3" t="inlineStr">
        <is>
          <t>Russia|National Research Tomsk State University</t>
        </is>
      </c>
      <c r="B921" s="3" t="inlineStr">
        <is>
          <t>Russia</t>
        </is>
      </c>
      <c r="C921" s="3" t="inlineStr">
        <is>
          <t>Томск</t>
        </is>
      </c>
      <c r="D921" s="3" t="inlineStr">
        <is>
          <t>National Research Tomsk State University</t>
        </is>
      </c>
      <c r="E921" s="3" t="inlineStr">
        <is>
          <t>Национальный исследовательский Томский государственный университет</t>
        </is>
      </c>
      <c r="F921" s="3" t="inlineStr">
        <is>
          <t>https://www.tsu.ru</t>
        </is>
      </c>
      <c r="G921" s="3" t="inlineStr">
        <is>
          <t>QS2027: 510</t>
        </is>
      </c>
      <c r="H921" s="3" t="inlineStr">
        <is>
          <t>THE2027: 701–800</t>
        </is>
      </c>
      <c r="I921" s="3" t="inlineStr">
        <is>
          <t>RAEX2026: 19</t>
        </is>
      </c>
      <c r="J921" s="4">
        <f>510</f>
        <v/>
      </c>
      <c r="K921" s="4" t="inlineStr">
        <is>
          <t>701–800</t>
        </is>
      </c>
      <c r="L921" s="4" t="inlineStr">
        <is>
          <t>960</t>
        </is>
      </c>
      <c r="M921" s="4" t="inlineStr">
        <is>
          <t>RAEX-100 2026</t>
        </is>
      </c>
      <c r="N921" s="4" t="inlineStr">
        <is>
          <t>19</t>
        </is>
      </c>
      <c r="O92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21" s="4" t="inlineStr">
        <is>
          <t>QS: в таблице как «Tomsk State University»; THE: в таблице как «Tomsk State University»</t>
        </is>
      </c>
    </row>
    <row r="922">
      <c r="A922" s="3" t="inlineStr">
        <is>
          <t>Russia|National Research University "Moscow Power Engineering Institute" (MPEI)</t>
        </is>
      </c>
      <c r="B922" s="3" t="inlineStr">
        <is>
          <t>Russia</t>
        </is>
      </c>
      <c r="C922" s="3" t="inlineStr">
        <is>
          <t>Москва</t>
        </is>
      </c>
      <c r="D922" s="3" t="inlineStr">
        <is>
          <t>National Research University "Moscow Power Engineering Institute" (MPEI)</t>
        </is>
      </c>
      <c r="E922" s="3" t="inlineStr">
        <is>
          <t>Национальный исследовательский университет «МЭИ»</t>
        </is>
      </c>
      <c r="F922" s="3" t="inlineStr">
        <is>
          <t>https://mpei.ru</t>
        </is>
      </c>
      <c r="G922" s="3" t="inlineStr">
        <is>
          <t>QS2027: 1401+</t>
        </is>
      </c>
      <c r="H922" s="3" t="inlineStr">
        <is>
          <t>THE2027: 1801–2000</t>
        </is>
      </c>
      <c r="I922" s="3" t="inlineStr">
        <is>
          <t>RAEX2026: 24</t>
        </is>
      </c>
      <c r="J922" s="4" t="inlineStr">
        <is>
          <t>1401+</t>
        </is>
      </c>
      <c r="K922" s="4" t="inlineStr">
        <is>
          <t>1801–2000</t>
        </is>
      </c>
      <c r="L922" s="4" t="inlineStr">
        <is>
          <t>нет в опубл. списке (опубликован только топ-15 страны)</t>
        </is>
      </c>
      <c r="M922" s="4" t="inlineStr">
        <is>
          <t>RAEX-100 2026</t>
        </is>
      </c>
      <c r="N922" s="4" t="inlineStr">
        <is>
          <t>24</t>
        </is>
      </c>
      <c r="O922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922" s="4" t="inlineStr">
        <is>
          <t>THE: в таблице как «Moscow Power Engineering Institute»</t>
        </is>
      </c>
    </row>
    <row r="923">
      <c r="A923" s="3" t="inlineStr">
        <is>
          <t>Russia|National Research University of Electronic Technology (MIET)</t>
        </is>
      </c>
      <c r="B923" s="3" t="inlineStr">
        <is>
          <t>Russia</t>
        </is>
      </c>
      <c r="C923" s="3" t="inlineStr">
        <is>
          <t>Москва</t>
        </is>
      </c>
      <c r="D923" s="3" t="inlineStr">
        <is>
          <t>National Research University of Electronic Technology (MIET)</t>
        </is>
      </c>
      <c r="E923" s="3" t="inlineStr">
        <is>
          <t>Национальный исследовательский университет «Московский институт электронной техники» (МИЭТ)</t>
        </is>
      </c>
      <c r="F923" s="3" t="inlineStr">
        <is>
          <t>https://miet.ru</t>
        </is>
      </c>
      <c r="G923" s="3" t="inlineStr"/>
      <c r="H923" s="3" t="inlineStr">
        <is>
          <t>THE2027: 1601–1800</t>
        </is>
      </c>
      <c r="I923" s="3" t="inlineStr">
        <is>
          <t>RAEX2026: 92</t>
        </is>
      </c>
      <c r="J923" s="4" t="inlineStr">
        <is>
          <t>не в рейтинге</t>
        </is>
      </c>
      <c r="K923" s="4" t="inlineStr">
        <is>
          <t>1601–1800</t>
        </is>
      </c>
      <c r="L923" s="4" t="inlineStr">
        <is>
          <t>нет в опубл. списке (опубликован только топ-15 страны)</t>
        </is>
      </c>
      <c r="M923" s="4" t="inlineStr">
        <is>
          <t>МосМУР «Три миссии университета» 2025 (мировой, место в мире)</t>
        </is>
      </c>
      <c r="N923" s="4" t="inlineStr">
        <is>
          <t>1001–1100</t>
        </is>
      </c>
      <c r="O923" s="4" t="inlineStr">
        <is>
          <t>https://www.timeshighereducation.com/world-university-rankings/2027/world-ranking
https://mosiur.org/ranking/</t>
        </is>
      </c>
      <c r="P923" s="4" t="inlineStr">
        <is>
          <t>в RAEX-100 2026 отсутствует</t>
        </is>
      </c>
    </row>
    <row r="924">
      <c r="A924" s="3" t="inlineStr">
        <is>
          <t>Russia|National University of Science and Technology MISIS (NUST MISIS)</t>
        </is>
      </c>
      <c r="B924" s="3" t="inlineStr">
        <is>
          <t>Russia</t>
        </is>
      </c>
      <c r="C924" s="3" t="inlineStr">
        <is>
          <t>Москва</t>
        </is>
      </c>
      <c r="D924" s="3" t="inlineStr">
        <is>
          <t>National University of Science and Technology MISIS (NUST MISIS)</t>
        </is>
      </c>
      <c r="E924" s="3" t="inlineStr">
        <is>
          <t>Национальный исследовательский технологический университет «МИСИС» (Университет МИСИС)</t>
        </is>
      </c>
      <c r="F924" s="3" t="inlineStr">
        <is>
          <t>https://misis.ru</t>
        </is>
      </c>
      <c r="G924" s="3" t="inlineStr"/>
      <c r="H924" s="3" t="inlineStr">
        <is>
          <t>THE2027: 1001–1200</t>
        </is>
      </c>
      <c r="I924" s="3" t="inlineStr">
        <is>
          <t>RAEX2026: 17</t>
        </is>
      </c>
      <c r="J924" s="4" t="inlineStr">
        <is>
          <t>801–850</t>
        </is>
      </c>
      <c r="K924" s="4" t="inlineStr">
        <is>
          <t>1001–1200</t>
        </is>
      </c>
      <c r="L924" s="4" t="inlineStr">
        <is>
          <t>нет в опубл. списке (опубликован только топ-15 страны)</t>
        </is>
      </c>
      <c r="M924" s="4" t="inlineStr">
        <is>
          <t>RAEX-100 2026; МосМУР «Три миссии» 2025</t>
        </is>
      </c>
      <c r="N924" s="4" t="inlineStr">
        <is>
          <t>не в рейтинге</t>
        </is>
      </c>
      <c r="O924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 ; https://mosiur.org/ranking/</t>
        </is>
      </c>
      <c r="P924" s="4" t="n"/>
    </row>
    <row r="925">
      <c r="A925" s="3" t="inlineStr">
        <is>
          <t>Russia|Nizhny Novgorod State Technical University n.a. R.E. Alekseev (NNSTU)</t>
        </is>
      </c>
      <c r="B925" s="3" t="inlineStr">
        <is>
          <t>Russia</t>
        </is>
      </c>
      <c r="C925" s="3" t="inlineStr">
        <is>
          <t>Нижний Новгород</t>
        </is>
      </c>
      <c r="D925" s="3" t="inlineStr">
        <is>
          <t>Nizhny Novgorod State Technical University n.a. R.E. Alekseev (NNSTU)</t>
        </is>
      </c>
      <c r="E925" s="3" t="inlineStr">
        <is>
          <t>Нижегородский государственный технический университет им. Р.Е. Алексеева (НГТУ)</t>
        </is>
      </c>
      <c r="F925" s="3" t="inlineStr">
        <is>
          <t>https://www.nntu.ru</t>
        </is>
      </c>
      <c r="G925" s="3" t="inlineStr"/>
      <c r="H925" s="3" t="inlineStr">
        <is>
          <t>THE2027: 2001+</t>
        </is>
      </c>
      <c r="I925" s="3" t="inlineStr"/>
      <c r="J925" s="4" t="inlineStr">
        <is>
          <t>не в рейтинге</t>
        </is>
      </c>
      <c r="K925" s="4" t="inlineStr">
        <is>
          <t>2001+</t>
        </is>
      </c>
      <c r="L925" s="4" t="inlineStr">
        <is>
          <t>нет в опубл. списке (опубликован только топ-15 страны)</t>
        </is>
      </c>
      <c r="M925" s="4" t="inlineStr">
        <is>
          <t>МосМУР «Три миссии университета» 2025 (мировой, место в мире)</t>
        </is>
      </c>
      <c r="N925" s="4" t="inlineStr">
        <is>
          <t>1501–1750</t>
        </is>
      </c>
      <c r="O925" s="4" t="inlineStr">
        <is>
          <t>https://www.timeshighereducation.com/world-university-rankings/2027/world-ranking
https://mosiur.org/ranking/</t>
        </is>
      </c>
      <c r="P925" s="4" t="inlineStr">
        <is>
          <t>в RAEX-100 2026 отсутствует</t>
        </is>
      </c>
    </row>
    <row r="926">
      <c r="A926" s="3" t="inlineStr">
        <is>
          <t>Russia|Nizhny Novgorod State University of Architecture and Civil Engineering (NNGASU)</t>
        </is>
      </c>
      <c r="B926" s="3" t="inlineStr">
        <is>
          <t>Russia</t>
        </is>
      </c>
      <c r="C926" s="3" t="inlineStr">
        <is>
          <t>Нижний Новгород</t>
        </is>
      </c>
      <c r="D926" s="3" t="inlineStr">
        <is>
          <t>Nizhny Novgorod State University of Architecture and Civil Engineering (NNGASU)</t>
        </is>
      </c>
      <c r="E926" s="3" t="inlineStr">
        <is>
          <t>Нижегородский государственный архитектурно-строительный университет</t>
        </is>
      </c>
      <c r="F926" s="3" t="inlineStr">
        <is>
          <t>https://www.nngasu.ru</t>
        </is>
      </c>
      <c r="G926" s="3" t="inlineStr"/>
      <c r="H926" s="3" t="inlineStr"/>
      <c r="I926" s="3" t="inlineStr"/>
      <c r="J926" s="4" t="inlineStr">
        <is>
          <t>не в рейтинге</t>
        </is>
      </c>
      <c r="K926" s="4" t="inlineStr">
        <is>
          <t>не в рейтинге</t>
        </is>
      </c>
      <c r="L926" s="4" t="inlineStr">
        <is>
          <t>нет в опубл. списке (опубликован только топ-15 страны)</t>
        </is>
      </c>
      <c r="M926" s="4" t="inlineStr">
        <is>
          <t>RAEX-100 2026; МосМУР «Три миссии» 2025</t>
        </is>
      </c>
      <c r="N926" s="4" t="inlineStr">
        <is>
          <t>не в рейтинге</t>
        </is>
      </c>
      <c r="O926" s="4" t="inlineStr">
        <is>
          <t>https://raex-rr.com/education/russian_universities/top-100_universities/2026/ ; https://mosiur.org/ranking/</t>
        </is>
      </c>
      <c r="P926" s="4" t="n"/>
    </row>
    <row r="927">
      <c r="A927" s="3" t="inlineStr">
        <is>
          <t>Russia|North-Caucasus Federal University (NCFU)</t>
        </is>
      </c>
      <c r="B927" s="3" t="inlineStr">
        <is>
          <t>Russia</t>
        </is>
      </c>
      <c r="C927" s="3" t="inlineStr">
        <is>
          <t>Ставрополь</t>
        </is>
      </c>
      <c r="D927" s="3" t="inlineStr">
        <is>
          <t>North-Caucasus Federal University (NCFU)</t>
        </is>
      </c>
      <c r="E927" s="3" t="inlineStr">
        <is>
          <t>Северо-Кавказский федеральный университет (СКФУ)</t>
        </is>
      </c>
      <c r="F927" s="3" t="inlineStr">
        <is>
          <t>https://ncfu.ru</t>
        </is>
      </c>
      <c r="G927" s="3" t="inlineStr"/>
      <c r="H927" s="3" t="inlineStr">
        <is>
          <t>THE2027: 2001+</t>
        </is>
      </c>
      <c r="I927" s="3" t="inlineStr">
        <is>
          <t>RAEX2026: 56</t>
        </is>
      </c>
      <c r="J927" s="4" t="inlineStr">
        <is>
          <t>не в рейтинге</t>
        </is>
      </c>
      <c r="K927" s="4" t="inlineStr">
        <is>
          <t>2001+</t>
        </is>
      </c>
      <c r="L927" s="4" t="inlineStr">
        <is>
          <t>нет в опубл. списке (опубликован только топ-15 страны)</t>
        </is>
      </c>
      <c r="M927" s="4" t="inlineStr">
        <is>
          <t>RAEX-100 2026</t>
        </is>
      </c>
      <c r="N927" s="4" t="inlineStr">
        <is>
          <t>56</t>
        </is>
      </c>
      <c r="O927" s="4" t="inlineStr">
        <is>
          <t>https://www.timeshighereducation.com/world-university-rankings/2027/world-ranking
https://raex-rr.com/education/russian_universities/top-100_universities/2026/</t>
        </is>
      </c>
      <c r="P927" s="4" t="n"/>
    </row>
    <row r="928">
      <c r="A928" s="3" t="inlineStr">
        <is>
          <t>Russia|Northern (Arctic) Federal University named after M.V. Lomonosov</t>
        </is>
      </c>
      <c r="B928" s="3" t="inlineStr">
        <is>
          <t>Russia</t>
        </is>
      </c>
      <c r="C928" s="3" t="inlineStr">
        <is>
          <t>Архангельск</t>
        </is>
      </c>
      <c r="D928" s="3" t="inlineStr">
        <is>
          <t>Northern (Arctic) Federal University named after M.V. Lomonosov</t>
        </is>
      </c>
      <c r="E928" s="3" t="inlineStr">
        <is>
          <t>Северный (Арктический) федеральный университет имени М.В. Ломоносова (САФУ)</t>
        </is>
      </c>
      <c r="F928" s="3" t="inlineStr">
        <is>
          <t>https://narfu.ru</t>
        </is>
      </c>
      <c r="G928" s="3" t="inlineStr"/>
      <c r="H928" s="3" t="inlineStr"/>
      <c r="I928" s="3" t="inlineStr"/>
      <c r="J928" s="4" t="inlineStr">
        <is>
          <t>не в рейтинге</t>
        </is>
      </c>
      <c r="K928" s="4" t="inlineStr">
        <is>
          <t>не в рейтинге</t>
        </is>
      </c>
      <c r="L928" s="4" t="inlineStr">
        <is>
          <t>нет в опубл. списке (опубликован только топ-15 страны)</t>
        </is>
      </c>
      <c r="M928" s="4" t="inlineStr">
        <is>
          <t>RAEX-100 2026; МосМУР «Три миссии» 2025</t>
        </is>
      </c>
      <c r="N928" s="4" t="inlineStr">
        <is>
          <t>не в рейтинге</t>
        </is>
      </c>
      <c r="O928" s="4" t="inlineStr">
        <is>
          <t>https://raex-rr.com/education/russian_universities/top-100_universities/2026/ ; https://mosiur.org/ranking/</t>
        </is>
      </c>
      <c r="P928" s="4" t="n"/>
    </row>
    <row r="929">
      <c r="A929" s="3" t="inlineStr">
        <is>
          <t>Russia|Nosov Magnitogorsk State Technical University</t>
        </is>
      </c>
      <c r="B929" s="3" t="inlineStr">
        <is>
          <t>Russia</t>
        </is>
      </c>
      <c r="C929" s="3" t="inlineStr">
        <is>
          <t>Магнитогорск</t>
        </is>
      </c>
      <c r="D929" s="3" t="inlineStr">
        <is>
          <t>Nosov Magnitogorsk State Technical University</t>
        </is>
      </c>
      <c r="E929" s="3" t="inlineStr">
        <is>
          <t>Магнитогорский государственный технический университет им. Г.И. Носова (МГТУ им. Г.И. Носова)</t>
        </is>
      </c>
      <c r="F929" s="3" t="inlineStr">
        <is>
          <t>https://www.magtu.ru</t>
        </is>
      </c>
      <c r="G929" s="3" t="inlineStr"/>
      <c r="H929" s="3" t="inlineStr"/>
      <c r="I929" s="3" t="inlineStr"/>
      <c r="J929" s="4" t="inlineStr">
        <is>
          <t>не в рейтинге</t>
        </is>
      </c>
      <c r="K929" s="4" t="inlineStr">
        <is>
          <t>не в рейтинге</t>
        </is>
      </c>
      <c r="L929" s="4" t="inlineStr">
        <is>
          <t>нет в опубл. списке (опубликован только топ-15 страны)</t>
        </is>
      </c>
      <c r="M929" s="4" t="inlineStr">
        <is>
          <t>МосМУР «Три миссии университета» 2025 (мировой, место в мире)</t>
        </is>
      </c>
      <c r="N929" s="4" t="inlineStr">
        <is>
          <t>1751–2000</t>
        </is>
      </c>
      <c r="O929" s="4" t="inlineStr">
        <is>
          <t>https://mosiur.org/ranking/</t>
        </is>
      </c>
      <c r="P929" s="4" t="inlineStr">
        <is>
          <t>в RAEX-100 2026 отсутствует</t>
        </is>
      </c>
    </row>
    <row r="930">
      <c r="A930" s="3" t="inlineStr">
        <is>
          <t>Russia|Novosibirsk State Agrarian University (since Dec 2025: Siberian State University of Engineering and Biotechnology)</t>
        </is>
      </c>
      <c r="B930" s="3" t="inlineStr">
        <is>
          <t>Russia</t>
        </is>
      </c>
      <c r="C930" s="3" t="inlineStr">
        <is>
          <t>Новосибирск</t>
        </is>
      </c>
      <c r="D930" s="3" t="inlineStr">
        <is>
          <t>Novosibirsk State Agrarian University (since Dec 2025: Siberian State University of Engineering and Biotechnology)</t>
        </is>
      </c>
      <c r="E930" s="3" t="inlineStr">
        <is>
          <t>Сибирский государственный университет инженерии и биотехнологий (Университет биотехнологий; до 02.12.2025 — Новосибирский государственный аграрный университет)</t>
        </is>
      </c>
      <c r="F930" s="3" t="inlineStr">
        <is>
          <t>https://edubiotech.ru</t>
        </is>
      </c>
      <c r="G930" s="3" t="inlineStr"/>
      <c r="H930" s="3" t="inlineStr"/>
      <c r="I930" s="3" t="inlineStr"/>
      <c r="J930" s="4" t="inlineStr">
        <is>
          <t>не в рейтинге</t>
        </is>
      </c>
      <c r="K930" s="4" t="inlineStr">
        <is>
          <t>не в рейтинге</t>
        </is>
      </c>
      <c r="L930" s="4" t="inlineStr">
        <is>
          <t>нет в опубл. списке (опубликован только топ-15 страны)</t>
        </is>
      </c>
      <c r="M930" s="4" t="inlineStr">
        <is>
          <t>RAEX-100 2026; МосМУР «Три миссии» 2025</t>
        </is>
      </c>
      <c r="N930" s="4" t="inlineStr">
        <is>
          <t>не в рейтинге</t>
        </is>
      </c>
      <c r="O930" s="4" t="inlineStr">
        <is>
          <t>https://raex-rr.com/education/russian_universities/top-100_universities/2026/ ; https://mosiur.org/ranking/</t>
        </is>
      </c>
      <c r="P930" s="4" t="n"/>
    </row>
    <row r="931">
      <c r="A931" s="3" t="inlineStr">
        <is>
          <t>Russia|Novosibirsk State Technical University</t>
        </is>
      </c>
      <c r="B931" s="3" t="inlineStr">
        <is>
          <t>Russia</t>
        </is>
      </c>
      <c r="C931" s="3" t="inlineStr">
        <is>
          <t>Новосибирск</t>
        </is>
      </c>
      <c r="D931" s="3" t="inlineStr">
        <is>
          <t>Novosibirsk State Technical University</t>
        </is>
      </c>
      <c r="E931" s="3" t="inlineStr">
        <is>
          <t>Новосибирский государственный технический университет</t>
        </is>
      </c>
      <c r="F931" s="3" t="inlineStr">
        <is>
          <t>https://www.nstu.ru</t>
        </is>
      </c>
      <c r="G931" s="3" t="inlineStr"/>
      <c r="H931" s="3" t="inlineStr">
        <is>
          <t>THE2027: 2001+</t>
        </is>
      </c>
      <c r="I931" s="3" t="inlineStr">
        <is>
          <t>RAEX2026: 47</t>
        </is>
      </c>
      <c r="J931" s="4" t="inlineStr">
        <is>
          <t>не в рейтинге</t>
        </is>
      </c>
      <c r="K931" s="4" t="inlineStr">
        <is>
          <t>2001+</t>
        </is>
      </c>
      <c r="L931" s="4" t="inlineStr">
        <is>
          <t>нет в опубл. списке (опубликован только топ-15 страны)</t>
        </is>
      </c>
      <c r="M931" s="4" t="inlineStr">
        <is>
          <t>RAEX-100 2026</t>
        </is>
      </c>
      <c r="N931" s="4" t="inlineStr">
        <is>
          <t>47</t>
        </is>
      </c>
      <c r="O931" s="4" t="inlineStr">
        <is>
          <t>https://www.timeshighereducation.com/world-university-rankings/2027/world-ranking
https://raex-rr.com/education/russian_universities/top-100_universities/2026/</t>
        </is>
      </c>
      <c r="P931" s="4" t="n"/>
    </row>
    <row r="932">
      <c r="A932" s="3" t="inlineStr">
        <is>
          <t>Russia|Novosibirsk State University (Novosibirsk National Research State University)</t>
        </is>
      </c>
      <c r="B932" s="3" t="inlineStr">
        <is>
          <t>Russia</t>
        </is>
      </c>
      <c r="C932" s="3" t="inlineStr">
        <is>
          <t>Новосибирск</t>
        </is>
      </c>
      <c r="D932" s="3" t="inlineStr">
        <is>
          <t>Novosibirsk State University (Novosibirsk National Research State University)</t>
        </is>
      </c>
      <c r="E932" s="3" t="inlineStr">
        <is>
          <t>Новосибирский национальный исследовательский государственный университет (НГУ)</t>
        </is>
      </c>
      <c r="F932" s="3" t="inlineStr">
        <is>
          <t>https://www.nsu.ru</t>
        </is>
      </c>
      <c r="G932" s="3" t="inlineStr">
        <is>
          <t>QS2027: 488</t>
        </is>
      </c>
      <c r="H932" s="3" t="inlineStr">
        <is>
          <t>THE2027: 1201–1400</t>
        </is>
      </c>
      <c r="I932" s="3" t="inlineStr">
        <is>
          <t>RAEX2026: 16</t>
        </is>
      </c>
      <c r="J932" s="4">
        <f>488</f>
        <v/>
      </c>
      <c r="K932" s="4" t="inlineStr">
        <is>
          <t>1201–1400</t>
        </is>
      </c>
      <c r="L932" s="4" t="inlineStr">
        <is>
          <t>1050</t>
        </is>
      </c>
      <c r="M932" s="4" t="inlineStr">
        <is>
          <t>RAEX-100 2026</t>
        </is>
      </c>
      <c r="N932" s="4" t="inlineStr">
        <is>
          <t>16</t>
        </is>
      </c>
      <c r="O93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32" s="4" t="n"/>
    </row>
    <row r="933">
      <c r="A933" s="3" t="inlineStr">
        <is>
          <t>Russia|Omsk State Agrarian University named after P.A. Stolypin (Omsk SAU)</t>
        </is>
      </c>
      <c r="B933" s="3" t="inlineStr">
        <is>
          <t>Russia</t>
        </is>
      </c>
      <c r="C933" s="3" t="inlineStr">
        <is>
          <t>Омск</t>
        </is>
      </c>
      <c r="D933" s="3" t="inlineStr">
        <is>
          <t>Omsk State Agrarian University named after P.A. Stolypin (Omsk SAU)</t>
        </is>
      </c>
      <c r="E933" s="3" t="inlineStr">
        <is>
          <t>Омский государственный аграрный университет имени П.А. Столыпина</t>
        </is>
      </c>
      <c r="F933" s="3" t="inlineStr">
        <is>
          <t>https://www.omgau.ru</t>
        </is>
      </c>
      <c r="G933" s="3" t="inlineStr"/>
      <c r="H933" s="3" t="inlineStr"/>
      <c r="I933" s="3" t="inlineStr"/>
      <c r="J933" s="4" t="inlineStr">
        <is>
          <t>не в рейтинге</t>
        </is>
      </c>
      <c r="K933" s="4" t="inlineStr">
        <is>
          <t>не в рейтинге</t>
        </is>
      </c>
      <c r="L933" s="4" t="inlineStr">
        <is>
          <t>нет в опубл. списке (опубликован только топ-15 страны)</t>
        </is>
      </c>
      <c r="M933" s="4" t="inlineStr">
        <is>
          <t>RAEX-100 2026; МосМУР «Три миссии» 2025</t>
        </is>
      </c>
      <c r="N933" s="4" t="inlineStr">
        <is>
          <t>не в рейтинге</t>
        </is>
      </c>
      <c r="O933" s="4" t="inlineStr">
        <is>
          <t>https://raex-rr.com/education/russian_universities/top-100_universities/2026/ ; https://mosiur.org/ranking/</t>
        </is>
      </c>
      <c r="P933" s="4" t="n"/>
    </row>
    <row r="934">
      <c r="A934" s="3" t="inlineStr">
        <is>
          <t>Russia|Orenburg State University</t>
        </is>
      </c>
      <c r="B934" s="3" t="inlineStr">
        <is>
          <t>Russia</t>
        </is>
      </c>
      <c r="C934" s="3" t="inlineStr">
        <is>
          <t>Оренбург</t>
        </is>
      </c>
      <c r="D934" s="3" t="inlineStr">
        <is>
          <t>Orenburg State University</t>
        </is>
      </c>
      <c r="E934" s="3" t="inlineStr">
        <is>
          <t>Оренбургский государственный университет имени В.А. Бондаренко</t>
        </is>
      </c>
      <c r="F934" s="3" t="inlineStr">
        <is>
          <t>https://osu.ru</t>
        </is>
      </c>
      <c r="G934" s="3" t="inlineStr"/>
      <c r="H934" s="3" t="inlineStr"/>
      <c r="I934" s="3" t="inlineStr"/>
      <c r="J934" s="4" t="inlineStr">
        <is>
          <t>не в рейтинге</t>
        </is>
      </c>
      <c r="K934" s="4" t="inlineStr">
        <is>
          <t>не в рейтинге</t>
        </is>
      </c>
      <c r="L934" s="4" t="inlineStr">
        <is>
          <t>нет в опубл. списке (опубликован только топ-15 страны)</t>
        </is>
      </c>
      <c r="M934" s="4" t="inlineStr">
        <is>
          <t>МосМУР «Три миссии университета» 2025 (мировой, место в мире)</t>
        </is>
      </c>
      <c r="N934" s="4" t="inlineStr">
        <is>
          <t>1751–2000</t>
        </is>
      </c>
      <c r="O934" s="4" t="inlineStr">
        <is>
          <t>https://mosiur.org/ranking/</t>
        </is>
      </c>
      <c r="P934" s="4" t="inlineStr">
        <is>
          <t>в RAEX-100 2026 отсутствует</t>
        </is>
      </c>
    </row>
    <row r="935">
      <c r="A935" s="3" t="inlineStr">
        <is>
          <t>Russia|P.G. Demidov Yaroslavl State University (Demidov University)</t>
        </is>
      </c>
      <c r="B935" s="3" t="inlineStr">
        <is>
          <t>Russia</t>
        </is>
      </c>
      <c r="C935" s="3" t="inlineStr">
        <is>
          <t>Ярославль</t>
        </is>
      </c>
      <c r="D935" s="3" t="inlineStr">
        <is>
          <t>P.G. Demidov Yaroslavl State University (Demidov University)</t>
        </is>
      </c>
      <c r="E935" s="3" t="inlineStr">
        <is>
          <t>Ярославский государственный университет им. П.Г. Демидова (ЯрГУ)</t>
        </is>
      </c>
      <c r="F935" s="3" t="inlineStr">
        <is>
          <t>https://www.uniyar.ac.ru</t>
        </is>
      </c>
      <c r="G935" s="3" t="inlineStr"/>
      <c r="H935" s="3" t="inlineStr"/>
      <c r="I935" s="3" t="inlineStr"/>
      <c r="J935" s="4" t="inlineStr">
        <is>
          <t>не в рейтинге</t>
        </is>
      </c>
      <c r="K935" s="4" t="inlineStr">
        <is>
          <t>не в рейтинге</t>
        </is>
      </c>
      <c r="L935" s="4" t="inlineStr">
        <is>
          <t>нет в опубл. списке (опубликован только топ-15 страны)</t>
        </is>
      </c>
      <c r="M935" s="4" t="inlineStr">
        <is>
          <t>МосМУР «Три миссии университета» 2025 (мировой, место в мире)</t>
        </is>
      </c>
      <c r="N935" s="4" t="inlineStr">
        <is>
          <t>1751–2000</t>
        </is>
      </c>
      <c r="O935" s="4" t="inlineStr">
        <is>
          <t>https://mosiur.org/ranking/</t>
        </is>
      </c>
      <c r="P935" s="4" t="inlineStr">
        <is>
          <t>в RAEX-100 2026 отсутствует</t>
        </is>
      </c>
    </row>
    <row r="936">
      <c r="A936" s="3" t="inlineStr">
        <is>
          <t>Russia|Peoples' Friendship University of Russia named after Patrice Lumumba (RUDN University)</t>
        </is>
      </c>
      <c r="B936" s="3" t="inlineStr">
        <is>
          <t>Russia</t>
        </is>
      </c>
      <c r="C936" s="3" t="inlineStr">
        <is>
          <t>Москва</t>
        </is>
      </c>
      <c r="D936" s="3" t="inlineStr">
        <is>
          <t>Peoples' Friendship University of Russia named after Patrice Lumumba (RUDN University)</t>
        </is>
      </c>
      <c r="E936" s="3" t="inlineStr">
        <is>
          <t>Российский университет дружбы народов имени Патриса Лумумбы (РУДН)</t>
        </is>
      </c>
      <c r="F936" s="3" t="inlineStr">
        <is>
          <t>https://www.rudn.ru</t>
        </is>
      </c>
      <c r="G936" s="3" t="inlineStr">
        <is>
          <t>QS2027: 359</t>
        </is>
      </c>
      <c r="H936" s="3" t="inlineStr">
        <is>
          <t>THE2027: 801–1000</t>
        </is>
      </c>
      <c r="I936" s="3" t="inlineStr">
        <is>
          <t>RAEX2026: 14</t>
        </is>
      </c>
      <c r="J936" s="4" t="inlineStr">
        <is>
          <t>359</t>
        </is>
      </c>
      <c r="K936" s="4" t="inlineStr">
        <is>
          <t>801–1000</t>
        </is>
      </c>
      <c r="L936" s="4" t="inlineStr">
        <is>
          <t>784</t>
        </is>
      </c>
      <c r="M936" s="4" t="inlineStr">
        <is>
          <t>RAEX-100 2026</t>
        </is>
      </c>
      <c r="N936" s="4" t="inlineStr">
        <is>
          <t>14</t>
        </is>
      </c>
      <c r="O93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36" s="4" t="inlineStr">
        <is>
          <t>QS: в таблице как «RUDN University»; THE: в таблице как «RUDN University»</t>
        </is>
      </c>
    </row>
    <row r="937">
      <c r="A937" s="3" t="inlineStr">
        <is>
          <t>Russia|Perm National Research Polytechnic University (PNRPU)</t>
        </is>
      </c>
      <c r="B937" s="3" t="inlineStr">
        <is>
          <t>Russia</t>
        </is>
      </c>
      <c r="C937" s="3" t="inlineStr">
        <is>
          <t>Пермь</t>
        </is>
      </c>
      <c r="D937" s="3" t="inlineStr">
        <is>
          <t>Perm National Research Polytechnic University (PNRPU)</t>
        </is>
      </c>
      <c r="E937" s="3" t="inlineStr">
        <is>
          <t>Пермский национальный исследовательский политехнический университет</t>
        </is>
      </c>
      <c r="F937" s="3" t="inlineStr">
        <is>
          <t>https://pstu.ru</t>
        </is>
      </c>
      <c r="G937" s="3" t="inlineStr"/>
      <c r="H937" s="3" t="inlineStr"/>
      <c r="I937" s="3" t="inlineStr">
        <is>
          <t>RAEX2026: 67</t>
        </is>
      </c>
      <c r="J937" s="4" t="inlineStr">
        <is>
          <t>не в рейтинге</t>
        </is>
      </c>
      <c r="K937" s="4" t="inlineStr">
        <is>
          <t>не в рейтинге</t>
        </is>
      </c>
      <c r="L937" s="4" t="inlineStr">
        <is>
          <t>нет в опубл. списке (опубликован только топ-15 страны)</t>
        </is>
      </c>
      <c r="M937" s="4" t="inlineStr">
        <is>
          <t>RAEX-100 2026</t>
        </is>
      </c>
      <c r="N937" s="4" t="inlineStr">
        <is>
          <t>67</t>
        </is>
      </c>
      <c r="O937" s="4" t="inlineStr">
        <is>
          <t>https://raex-rr.com/education/russian_universities/top-100_universities/2026/</t>
        </is>
      </c>
      <c r="P937" s="4" t="n"/>
    </row>
    <row r="938">
      <c r="A938" s="3" t="inlineStr">
        <is>
          <t>Russia|Perm State Agro-Technological University named after Academician D.N. Pryanishnikov</t>
        </is>
      </c>
      <c r="B938" s="3" t="inlineStr">
        <is>
          <t>Russia</t>
        </is>
      </c>
      <c r="C938" s="3" t="inlineStr">
        <is>
          <t>Пермь</t>
        </is>
      </c>
      <c r="D938" s="3" t="inlineStr">
        <is>
          <t>Perm State Agro-Technological University named after Academician D.N. Pryanishnikov</t>
        </is>
      </c>
      <c r="E938" s="3" t="inlineStr">
        <is>
          <t>Пермский государственный аграрно-технологический университет имени академика Д.Н. Прянишникова (Пермский ГАТУ)</t>
        </is>
      </c>
      <c r="F938" s="3" t="inlineStr">
        <is>
          <t>https://pgatu.ru</t>
        </is>
      </c>
      <c r="G938" s="3" t="inlineStr"/>
      <c r="H938" s="3" t="inlineStr"/>
      <c r="I938" s="3" t="inlineStr"/>
      <c r="J938" s="4" t="inlineStr">
        <is>
          <t>не в рейтинге</t>
        </is>
      </c>
      <c r="K938" s="4" t="inlineStr">
        <is>
          <t>не в рейтинге</t>
        </is>
      </c>
      <c r="L938" s="4" t="inlineStr">
        <is>
          <t>нет в опубл. списке (опубликован только топ-15 страны)</t>
        </is>
      </c>
      <c r="M938" s="4" t="inlineStr">
        <is>
          <t>RAEX-100 2026; МосМУР «Три миссии» 2025</t>
        </is>
      </c>
      <c r="N938" s="4" t="inlineStr">
        <is>
          <t>не в рейтинге</t>
        </is>
      </c>
      <c r="O938" s="4" t="inlineStr">
        <is>
          <t>https://raex-rr.com/education/russian_universities/top-100_universities/2026/ ; https://mosiur.org/ranking/</t>
        </is>
      </c>
      <c r="P938" s="4" t="n"/>
    </row>
    <row r="939">
      <c r="A939" s="3" t="inlineStr">
        <is>
          <t>Russia|Perm State University (Perm State National Research University)</t>
        </is>
      </c>
      <c r="B939" s="3" t="inlineStr">
        <is>
          <t>Russia</t>
        </is>
      </c>
      <c r="C939" s="3" t="inlineStr">
        <is>
          <t>Пермь</t>
        </is>
      </c>
      <c r="D939" s="3" t="inlineStr">
        <is>
          <t>Perm State University (Perm State National Research University)</t>
        </is>
      </c>
      <c r="E939" s="3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университет» (ПГНИУ)</t>
        </is>
      </c>
      <c r="F939" s="3" t="inlineStr">
        <is>
          <t>https://www.psu.ru</t>
        </is>
      </c>
      <c r="G939" s="3" t="inlineStr"/>
      <c r="H939" s="3" t="inlineStr">
        <is>
          <t>THE2027: 2001+</t>
        </is>
      </c>
      <c r="I939" s="3" t="inlineStr"/>
      <c r="J939" s="4" t="inlineStr">
        <is>
          <t>не в рейтинге</t>
        </is>
      </c>
      <c r="K939" s="4" t="inlineStr">
        <is>
          <t>2001+</t>
        </is>
      </c>
      <c r="L939" s="4" t="inlineStr">
        <is>
          <t>нет в опубл. списке (опубликован только топ-15 страны)</t>
        </is>
      </c>
      <c r="M939" s="4" t="inlineStr">
        <is>
          <t>МосМУР «Три миссии университета» 2025 (мировой, место в мире)</t>
        </is>
      </c>
      <c r="N939" s="4" t="inlineStr">
        <is>
          <t>1301–1400</t>
        </is>
      </c>
      <c r="O939" s="4" t="inlineStr">
        <is>
          <t>https://www.timeshighereducation.com/world-university-rankings/2027/world-ranking
https://mosiur.org/ranking/</t>
        </is>
      </c>
      <c r="P939" s="4" t="inlineStr">
        <is>
          <t>в RAEX-100 2026 отсутствует</t>
        </is>
      </c>
    </row>
    <row r="940">
      <c r="A940" s="3" t="inlineStr">
        <is>
          <t>Russia|Peter the Great St. Petersburg Polytechnic University (SPbPU)</t>
        </is>
      </c>
      <c r="B940" s="3" t="inlineStr">
        <is>
          <t>Russia</t>
        </is>
      </c>
      <c r="C940" s="3" t="inlineStr">
        <is>
          <t>Санкт-Петербург</t>
        </is>
      </c>
      <c r="D940" s="3" t="inlineStr">
        <is>
          <t>Peter the Great St. Petersburg Polytechnic University (SPbPU)</t>
        </is>
      </c>
      <c r="E940" s="3" t="inlineStr">
        <is>
          <t>Санкт-Петербургский политехнический университет Петра Великого</t>
        </is>
      </c>
      <c r="F940" s="3" t="inlineStr">
        <is>
          <t>https://www.spbstu.ru</t>
        </is>
      </c>
      <c r="G940" s="3" t="inlineStr">
        <is>
          <t>QS2027: 620</t>
        </is>
      </c>
      <c r="H940" s="3" t="inlineStr">
        <is>
          <t>THE2027: 1001–1200</t>
        </is>
      </c>
      <c r="I940" s="3" t="inlineStr">
        <is>
          <t>RAEX2026: 9</t>
        </is>
      </c>
      <c r="J940" s="4" t="inlineStr">
        <is>
          <t>619</t>
        </is>
      </c>
      <c r="K940" s="4" t="inlineStr">
        <is>
          <t>1001–1200</t>
        </is>
      </c>
      <c r="L940" s="4" t="inlineStr">
        <is>
          <t>1196</t>
        </is>
      </c>
      <c r="M940" s="4" t="inlineStr">
        <is>
          <t>RAEX-100 2026</t>
        </is>
      </c>
      <c r="N940" s="4" t="inlineStr">
        <is>
          <t>9</t>
        </is>
      </c>
      <c r="O94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40" s="4" t="inlineStr">
        <is>
          <t>QS: в столбце G было 620, в таблице QS 2027 сейчас 619</t>
        </is>
      </c>
    </row>
    <row r="941">
      <c r="A941" s="3" t="inlineStr">
        <is>
          <t>Russia|Petrozavodsk State University</t>
        </is>
      </c>
      <c r="B941" s="3" t="inlineStr">
        <is>
          <t>Russia</t>
        </is>
      </c>
      <c r="C941" s="3" t="inlineStr">
        <is>
          <t>Петрозаводск</t>
        </is>
      </c>
      <c r="D941" s="3" t="inlineStr">
        <is>
          <t>Petrozavodsk State University</t>
        </is>
      </c>
      <c r="E941" s="3" t="inlineStr">
        <is>
          <t>Петрозаводский государственный университет</t>
        </is>
      </c>
      <c r="F941" s="3" t="inlineStr">
        <is>
          <t>https://petrsu.ru</t>
        </is>
      </c>
      <c r="G941" s="3" t="inlineStr"/>
      <c r="H941" s="3" t="inlineStr">
        <is>
          <t>THE2027: 2001+</t>
        </is>
      </c>
      <c r="I941" s="3" t="inlineStr"/>
      <c r="J941" s="4" t="inlineStr">
        <is>
          <t>не в рейтинге</t>
        </is>
      </c>
      <c r="K941" s="4" t="inlineStr">
        <is>
          <t>2001+</t>
        </is>
      </c>
      <c r="L941" s="4" t="inlineStr">
        <is>
          <t>нет в опубл. списке (опубликован только топ-15 страны)</t>
        </is>
      </c>
      <c r="M941" s="4" t="inlineStr">
        <is>
          <t>МосМУР «Три миссии университета» 2025 (мировой, место в мире)</t>
        </is>
      </c>
      <c r="N941" s="4" t="inlineStr">
        <is>
          <t>1501–1750</t>
        </is>
      </c>
      <c r="O941" s="4" t="inlineStr">
        <is>
          <t>https://www.timeshighereducation.com/world-university-rankings/2027/world-ranking
https://mosiur.org/ranking/</t>
        </is>
      </c>
      <c r="P941" s="4" t="inlineStr">
        <is>
          <t>в RAEX-100 2026 отсутствует</t>
        </is>
      </c>
    </row>
    <row r="942">
      <c r="A942" s="3" t="inlineStr">
        <is>
          <t>Russia|Platov South-Russian State Polytechnic University (NPI)</t>
        </is>
      </c>
      <c r="B942" s="3" t="inlineStr">
        <is>
          <t>Russia</t>
        </is>
      </c>
      <c r="C942" s="3" t="inlineStr">
        <is>
          <t>Новочеркасск</t>
        </is>
      </c>
      <c r="D942" s="3" t="inlineStr">
        <is>
          <t>Platov South-Russian State Polytechnic University (NPI)</t>
        </is>
      </c>
      <c r="E942" s="3" t="inlineStr">
        <is>
          <t>Южно-Российский государственный политехнический университет (НПИ) имени М.И. Платова</t>
        </is>
      </c>
      <c r="F942" s="3" t="inlineStr">
        <is>
          <t>https://www.npi-tu.ru</t>
        </is>
      </c>
      <c r="G942" s="3" t="inlineStr"/>
      <c r="H942" s="3" t="inlineStr"/>
      <c r="I942" s="3" t="inlineStr">
        <is>
          <t>RAEX2026: 58</t>
        </is>
      </c>
      <c r="J942" s="4" t="inlineStr">
        <is>
          <t>не в рейтинге</t>
        </is>
      </c>
      <c r="K942" s="4" t="inlineStr">
        <is>
          <t>Reporter</t>
        </is>
      </c>
      <c r="L942" s="4" t="inlineStr">
        <is>
          <t>нет в опубл. списке (опубликован только топ-15 страны)</t>
        </is>
      </c>
      <c r="M942" s="4" t="inlineStr">
        <is>
          <t>RAEX-100 2026</t>
        </is>
      </c>
      <c r="N942" s="4" t="inlineStr">
        <is>
          <t>58</t>
        </is>
      </c>
      <c r="O942" s="4" t="inlineStr">
        <is>
          <t>https://www.timeshighereducation.com/world-university-rankings/2027/world-ranking
https://raex-rr.com/education/russian_universities/top-100_universities/2026/</t>
        </is>
      </c>
      <c r="P942" s="4" t="n"/>
    </row>
    <row r="943">
      <c r="A943" s="3" t="inlineStr">
        <is>
          <t>Russia|Plekhanov Russian University of Economics</t>
        </is>
      </c>
      <c r="B943" s="3" t="inlineStr">
        <is>
          <t>Russia</t>
        </is>
      </c>
      <c r="C943" s="3" t="inlineStr">
        <is>
          <t>Москва</t>
        </is>
      </c>
      <c r="D943" s="3" t="inlineStr">
        <is>
          <t>Plekhanov Russian University of Economics</t>
        </is>
      </c>
      <c r="E943" s="3" t="inlineStr">
        <is>
          <t>Российский экономический университет имени Г.В. Плеханова</t>
        </is>
      </c>
      <c r="F943" s="3" t="inlineStr">
        <is>
          <t>https://www.rea.ru</t>
        </is>
      </c>
      <c r="G943" s="3" t="inlineStr">
        <is>
          <t>QS2027: 721-730</t>
        </is>
      </c>
      <c r="H943" s="3" t="inlineStr">
        <is>
          <t>THE2027: 1801–2000</t>
        </is>
      </c>
      <c r="I943" s="3" t="inlineStr">
        <is>
          <t>RAEX2026: 18</t>
        </is>
      </c>
      <c r="J943" s="4" t="inlineStr">
        <is>
          <t>721–730</t>
        </is>
      </c>
      <c r="K943" s="4" t="inlineStr">
        <is>
          <t>1801–2000</t>
        </is>
      </c>
      <c r="L943" s="4" t="inlineStr">
        <is>
          <t>нет в опубл. списке (опубликован только топ-15 страны)</t>
        </is>
      </c>
      <c r="M943" s="4" t="inlineStr">
        <is>
          <t>RAEX-100 2026</t>
        </is>
      </c>
      <c r="N943" s="4" t="inlineStr">
        <is>
          <t>18</t>
        </is>
      </c>
      <c r="O943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943" s="4" t="n"/>
    </row>
    <row r="944">
      <c r="A944" s="3" t="inlineStr">
        <is>
          <t>Russia|Polzunov Altai State Technical University (AltSTU)</t>
        </is>
      </c>
      <c r="B944" s="3" t="inlineStr">
        <is>
          <t>Russia</t>
        </is>
      </c>
      <c r="C944" s="3" t="inlineStr">
        <is>
          <t>Барнаул</t>
        </is>
      </c>
      <c r="D944" s="3" t="inlineStr">
        <is>
          <t>Polzunov Altai State Technical University (AltSTU)</t>
        </is>
      </c>
      <c r="E944" s="3" t="inlineStr">
        <is>
          <t>Алтайский государственный технический университет им. И.И. Ползунова (АлтГТУ)</t>
        </is>
      </c>
      <c r="F944" s="3" t="inlineStr">
        <is>
          <t>https://www.altstu.ru</t>
        </is>
      </c>
      <c r="G944" s="3" t="inlineStr"/>
      <c r="H944" s="3" t="inlineStr"/>
      <c r="I944" s="3" t="inlineStr"/>
      <c r="J944" s="4" t="inlineStr">
        <is>
          <t>не в рейтинге</t>
        </is>
      </c>
      <c r="K944" s="4" t="inlineStr">
        <is>
          <t>не в рейтинге</t>
        </is>
      </c>
      <c r="L944" s="4" t="inlineStr">
        <is>
          <t>нет в опубл. списке (опубликован только топ-15 страны)</t>
        </is>
      </c>
      <c r="M944" s="4" t="inlineStr">
        <is>
          <t>МосМУР «Три миссии университета» 2025 (мировой, место в мире)</t>
        </is>
      </c>
      <c r="N944" s="4" t="inlineStr">
        <is>
          <t>1751–2000</t>
        </is>
      </c>
      <c r="O944" s="4" t="inlineStr">
        <is>
          <t>https://mosiur.org/ranking/</t>
        </is>
      </c>
      <c r="P944" s="4" t="inlineStr">
        <is>
          <t>в RAEX-100 2026 отсутствует</t>
        </is>
      </c>
    </row>
    <row r="945">
      <c r="A945" s="3" t="inlineStr">
        <is>
          <t>Russia|Pskov State University</t>
        </is>
      </c>
      <c r="B945" s="3" t="inlineStr">
        <is>
          <t>Russia</t>
        </is>
      </c>
      <c r="C945" s="3" t="inlineStr">
        <is>
          <t>Псков</t>
        </is>
      </c>
      <c r="D945" s="3" t="inlineStr">
        <is>
          <t>Pskov State University</t>
        </is>
      </c>
      <c r="E945" s="3" t="inlineStr">
        <is>
          <t>Псковский государственный университет (ПсковГУ)</t>
        </is>
      </c>
      <c r="F945" s="3" t="inlineStr">
        <is>
          <t>https://pskgu.ru</t>
        </is>
      </c>
      <c r="G945" s="3" t="inlineStr"/>
      <c r="H945" s="3" t="inlineStr"/>
      <c r="I945" s="3" t="inlineStr"/>
      <c r="J945" s="4" t="inlineStr">
        <is>
          <t>не в рейтинге</t>
        </is>
      </c>
      <c r="K945" s="4" t="inlineStr">
        <is>
          <t>не в рейтинге</t>
        </is>
      </c>
      <c r="L945" s="4" t="inlineStr">
        <is>
          <t>нет в опубл. списке (опубликован только топ-15 страны)</t>
        </is>
      </c>
      <c r="M945" s="4" t="inlineStr">
        <is>
          <t>RAEX-100 2026; МосМУР «Три миссии» 2025</t>
        </is>
      </c>
      <c r="N945" s="4" t="inlineStr">
        <is>
          <t>не в рейтинге</t>
        </is>
      </c>
      <c r="O945" s="4" t="inlineStr">
        <is>
          <t>https://raex-rr.com/education/russian_universities/top-100_universities/2026/ ; https://mosiur.org/ranking/</t>
        </is>
      </c>
      <c r="P945" s="4" t="n"/>
    </row>
    <row r="946">
      <c r="A946" s="3" t="inlineStr">
        <is>
          <t>Russia|Russian Biotechnological University (ROSBIOTECH)</t>
        </is>
      </c>
      <c r="B946" s="3" t="inlineStr">
        <is>
          <t>Russia</t>
        </is>
      </c>
      <c r="C946" s="3" t="inlineStr">
        <is>
          <t>Москва</t>
        </is>
      </c>
      <c r="D946" s="3" t="inlineStr">
        <is>
          <t>Russian Biotechnological University (ROSBIOTECH)</t>
        </is>
      </c>
      <c r="E946" s="3" t="inlineStr">
        <is>
          <t>Российский биотехнологический университет (РОСБИОТЕХ)</t>
        </is>
      </c>
      <c r="F946" s="3" t="inlineStr">
        <is>
          <t>https://rosbiotech.ru</t>
        </is>
      </c>
      <c r="G946" s="3" t="inlineStr"/>
      <c r="H946" s="3" t="inlineStr"/>
      <c r="I946" s="3" t="inlineStr"/>
      <c r="J946" s="4" t="inlineStr">
        <is>
          <t>не в рейтинге</t>
        </is>
      </c>
      <c r="K946" s="4" t="inlineStr">
        <is>
          <t>Reporter</t>
        </is>
      </c>
      <c r="L946" s="4" t="inlineStr">
        <is>
          <t>нет в опубл. списке (опубликован только топ-15 страны)</t>
        </is>
      </c>
      <c r="M946" s="4" t="inlineStr">
        <is>
          <t>МосМУР «Три миссии университета» 2025 (мировой, место в мире)</t>
        </is>
      </c>
      <c r="N946" s="4" t="inlineStr">
        <is>
          <t>1751–2000</t>
        </is>
      </c>
      <c r="O946" s="4" t="inlineStr">
        <is>
          <t>https://www.timeshighereducation.com/world-university-rankings/2027/world-ranking
https://mosiur.org/ranking/</t>
        </is>
      </c>
      <c r="P946" s="4" t="inlineStr">
        <is>
          <t>в RAEX-100 2026 отсутствует</t>
        </is>
      </c>
    </row>
    <row r="947">
      <c r="A947" s="3" t="inlineStr">
        <is>
          <t>Russia|Russian New University (RosNOU)</t>
        </is>
      </c>
      <c r="B947" s="3" t="inlineStr">
        <is>
          <t>Russia</t>
        </is>
      </c>
      <c r="C947" s="3" t="inlineStr">
        <is>
          <t>Москва</t>
        </is>
      </c>
      <c r="D947" s="3" t="inlineStr">
        <is>
          <t>Russian New University (RosNOU)</t>
        </is>
      </c>
      <c r="E947" s="3" t="inlineStr">
        <is>
          <t>Российский новый университет (АНО ВО «Российский новый университет»)</t>
        </is>
      </c>
      <c r="F947" s="3" t="inlineStr">
        <is>
          <t>https://rosnou.ru</t>
        </is>
      </c>
      <c r="G947" s="3" t="inlineStr"/>
      <c r="H947" s="3" t="inlineStr"/>
      <c r="I947" s="3" t="inlineStr">
        <is>
          <t>RAEX2026: 98</t>
        </is>
      </c>
      <c r="J947" s="4" t="inlineStr">
        <is>
          <t>не в рейтинге</t>
        </is>
      </c>
      <c r="K947" s="4" t="inlineStr">
        <is>
          <t>не в рейтинге</t>
        </is>
      </c>
      <c r="L947" s="4" t="inlineStr">
        <is>
          <t>нет в опубл. списке (опубликован только топ-15 страны)</t>
        </is>
      </c>
      <c r="M947" s="4" t="inlineStr">
        <is>
          <t>RAEX-100 2026</t>
        </is>
      </c>
      <c r="N947" s="4" t="inlineStr">
        <is>
          <t>98</t>
        </is>
      </c>
      <c r="O947" s="4" t="inlineStr">
        <is>
          <t>https://raex-rr.com/education/russian_universities/top-100_universities/2026/</t>
        </is>
      </c>
      <c r="P947" s="4" t="n"/>
    </row>
    <row r="948">
      <c r="A948" s="3" t="inlineStr">
        <is>
          <t>Russia|Russian Presidential Academy of National Economy and Public Administration (RANEPA)</t>
        </is>
      </c>
      <c r="B948" s="3" t="inlineStr">
        <is>
          <t>Russia</t>
        </is>
      </c>
      <c r="C948" s="3" t="inlineStr">
        <is>
          <t>Москва</t>
        </is>
      </c>
      <c r="D948" s="3" t="inlineStr">
        <is>
          <t>Russian Presidential Academy of National Economy and Public Administration (RANEPA)</t>
        </is>
      </c>
      <c r="E948" s="3" t="inlineStr">
        <is>
          <t>Российская академия народного хозяйства и государственной службы при Президенте Российской Федерации (РАНХиГС)</t>
        </is>
      </c>
      <c r="F948" s="3" t="inlineStr">
        <is>
          <t>https://www.ranepa.ru</t>
        </is>
      </c>
      <c r="G948" s="3" t="inlineStr"/>
      <c r="H948" s="3" t="inlineStr">
        <is>
          <t>THE2027: 1801–2000</t>
        </is>
      </c>
      <c r="I948" s="3" t="inlineStr">
        <is>
          <t>RAEX2026: 8</t>
        </is>
      </c>
      <c r="J948" s="4" t="inlineStr">
        <is>
          <t>1201–1400</t>
        </is>
      </c>
      <c r="K948" s="4" t="inlineStr">
        <is>
          <t>1801–2000</t>
        </is>
      </c>
      <c r="L948" s="4" t="inlineStr">
        <is>
          <t>нет в опубл. списке (опубликован только топ-15 страны)</t>
        </is>
      </c>
      <c r="M948" s="4" t="inlineStr">
        <is>
          <t>RAEX-100 2026</t>
        </is>
      </c>
      <c r="N948" s="4" t="inlineStr">
        <is>
          <t>8</t>
        </is>
      </c>
      <c r="O948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948" s="4" t="n"/>
    </row>
    <row r="949">
      <c r="A949" s="3" t="inlineStr">
        <is>
          <t>Russia|Russian State Agrarian University – Moscow Timiryazev Agricultural Academy (RSAU-MTAA)</t>
        </is>
      </c>
      <c r="B949" s="3" t="inlineStr">
        <is>
          <t>Russia</t>
        </is>
      </c>
      <c r="C949" s="3" t="inlineStr">
        <is>
          <t>Москва</t>
        </is>
      </c>
      <c r="D949" s="3" t="inlineStr">
        <is>
          <t>Russian State Agrarian University – Moscow Timiryazev Agricultural Academy (RSAU-MTAA)</t>
        </is>
      </c>
      <c r="E949" s="3" t="inlineStr">
        <is>
          <t>Российский государственный аграрный университет – МСХА имени К.А. Тимирязева</t>
        </is>
      </c>
      <c r="F949" s="3" t="inlineStr">
        <is>
          <t>https://www.timacad.ru</t>
        </is>
      </c>
      <c r="G949" s="3" t="inlineStr"/>
      <c r="H949" s="3" t="inlineStr">
        <is>
          <t>THE2027: 1801–2000</t>
        </is>
      </c>
      <c r="I949" s="3" t="inlineStr">
        <is>
          <t>RAEX2026: 35</t>
        </is>
      </c>
      <c r="J949" s="4" t="inlineStr">
        <is>
          <t>не в рейтинге</t>
        </is>
      </c>
      <c r="K949" s="4" t="inlineStr">
        <is>
          <t>1801–2000</t>
        </is>
      </c>
      <c r="L949" s="4" t="inlineStr">
        <is>
          <t>нет в опубл. списке (опубликован только топ-15 страны)</t>
        </is>
      </c>
      <c r="M949" s="4" t="inlineStr">
        <is>
          <t>RAEX-100 2026</t>
        </is>
      </c>
      <c r="N949" s="4" t="inlineStr">
        <is>
          <t>35</t>
        </is>
      </c>
      <c r="O949" s="4" t="inlineStr">
        <is>
          <t>https://www.timeshighereducation.com/world-university-rankings/2027/world-ranking
https://raex-rr.com/education/russian_universities/top-100_universities/2026/</t>
        </is>
      </c>
      <c r="P949" s="4" t="n"/>
    </row>
    <row r="950">
      <c r="A950" s="3" t="inlineStr">
        <is>
          <t>Russia|Russian State Geological Prospecting University (MGRI)</t>
        </is>
      </c>
      <c r="B950" s="3" t="inlineStr">
        <is>
          <t>Russia</t>
        </is>
      </c>
      <c r="C950" s="3" t="inlineStr">
        <is>
          <t>Москва</t>
        </is>
      </c>
      <c r="D950" s="3" t="inlineStr">
        <is>
          <t>Russian State Geological Prospecting University (MGRI)</t>
        </is>
      </c>
      <c r="E950" s="3" t="inlineStr">
        <is>
          <t>Российский государственный геологоразведочный университет имени Серго Орджоникидзе (МГРИ)</t>
        </is>
      </c>
      <c r="F950" s="3" t="inlineStr">
        <is>
          <t>https://mgri.ru</t>
        </is>
      </c>
      <c r="G950" s="3" t="inlineStr"/>
      <c r="H950" s="3" t="inlineStr"/>
      <c r="I950" s="3" t="inlineStr"/>
      <c r="J950" s="4" t="inlineStr">
        <is>
          <t>не в рейтинге</t>
        </is>
      </c>
      <c r="K950" s="4" t="inlineStr">
        <is>
          <t>не в рейтинге</t>
        </is>
      </c>
      <c r="L950" s="4" t="inlineStr">
        <is>
          <t>нет в опубл. списке (опубликован только топ-15 страны)</t>
        </is>
      </c>
      <c r="M950" s="4" t="inlineStr">
        <is>
          <t>RAEX-100 2026; МосМУР «Три миссии» 2025</t>
        </is>
      </c>
      <c r="N950" s="4" t="inlineStr">
        <is>
          <t>не в рейтинге</t>
        </is>
      </c>
      <c r="O950" s="4" t="inlineStr">
        <is>
          <t>https://raex-rr.com/education/russian_universities/top-100_universities/2026/ ; https://mosiur.org/ranking/</t>
        </is>
      </c>
      <c r="P950" s="4" t="n"/>
    </row>
    <row r="951">
      <c r="A951" s="3" t="inlineStr">
        <is>
          <t>Russia|Russian State Hydrometeorological University (RSHU)</t>
        </is>
      </c>
      <c r="B951" s="3" t="inlineStr">
        <is>
          <t>Russia</t>
        </is>
      </c>
      <c r="C951" s="3" t="inlineStr">
        <is>
          <t>Санкт-Петербург</t>
        </is>
      </c>
      <c r="D951" s="3" t="inlineStr">
        <is>
          <t>Russian State Hydrometeorological University (RSHU)</t>
        </is>
      </c>
      <c r="E951" s="3" t="inlineStr">
        <is>
          <t>Российский государственный гидрометеорологический университет</t>
        </is>
      </c>
      <c r="F951" s="3" t="inlineStr">
        <is>
          <t>https://www.rshu.ru</t>
        </is>
      </c>
      <c r="G951" s="3" t="inlineStr"/>
      <c r="H951" s="3" t="inlineStr"/>
      <c r="I951" s="3" t="inlineStr"/>
      <c r="J951" s="4" t="inlineStr">
        <is>
          <t>не в рейтинге</t>
        </is>
      </c>
      <c r="K951" s="4" t="inlineStr">
        <is>
          <t>не в рейтинге</t>
        </is>
      </c>
      <c r="L951" s="4" t="inlineStr">
        <is>
          <t>нет в опубл. списке (опубликован только топ-15 страны)</t>
        </is>
      </c>
      <c r="M951" s="4" t="inlineStr">
        <is>
          <t>RAEX-100 2026; МосМУР «Три миссии» 2025</t>
        </is>
      </c>
      <c r="N951" s="4" t="inlineStr">
        <is>
          <t>не в рейтинге</t>
        </is>
      </c>
      <c r="O951" s="4" t="inlineStr">
        <is>
          <t>https://raex-rr.com/education/russian_universities/top-100_universities/2026/ ; https://mosiur.org/ranking/</t>
        </is>
      </c>
      <c r="P951" s="4" t="n"/>
    </row>
    <row r="952">
      <c r="A952" s="3" t="inlineStr">
        <is>
          <t>Russia|Russian State University for the Humanities (RSUH)</t>
        </is>
      </c>
      <c r="B952" s="3" t="inlineStr">
        <is>
          <t>Russia</t>
        </is>
      </c>
      <c r="C952" s="3" t="inlineStr">
        <is>
          <t>Москва</t>
        </is>
      </c>
      <c r="D952" s="3" t="inlineStr">
        <is>
          <t>Russian State University for the Humanities (RSUH)</t>
        </is>
      </c>
      <c r="E952" s="3" t="inlineStr">
        <is>
          <t>Российский государственный гуманитарный университет</t>
        </is>
      </c>
      <c r="F952" s="3" t="inlineStr">
        <is>
          <t>https://www.rsuh.ru</t>
        </is>
      </c>
      <c r="G952" s="3" t="inlineStr"/>
      <c r="H952" s="3" t="inlineStr">
        <is>
          <t>THE2027: 2001+</t>
        </is>
      </c>
      <c r="I952" s="3" t="inlineStr">
        <is>
          <t>RAEX2026: 50</t>
        </is>
      </c>
      <c r="J952" s="4" t="inlineStr">
        <is>
          <t>не в рейтинге</t>
        </is>
      </c>
      <c r="K952" s="4" t="inlineStr">
        <is>
          <t>2001+</t>
        </is>
      </c>
      <c r="L952" s="4" t="inlineStr">
        <is>
          <t>нет в опубл. списке (опубликован только топ-15 страны)</t>
        </is>
      </c>
      <c r="M952" s="4" t="inlineStr">
        <is>
          <t>RAEX-100 2026</t>
        </is>
      </c>
      <c r="N952" s="4" t="inlineStr">
        <is>
          <t>50</t>
        </is>
      </c>
      <c r="O952" s="4" t="inlineStr">
        <is>
          <t>https://www.timeshighereducation.com/world-university-rankings/2027/world-ranking
https://raex-rr.com/education/russian_universities/top-100_universities/2026/</t>
        </is>
      </c>
      <c r="P952" s="4" t="n"/>
    </row>
    <row r="953">
      <c r="A953" s="3" t="inlineStr">
        <is>
          <t>Russia|Russian State University of Tourism and Service (RGUTIS)</t>
        </is>
      </c>
      <c r="B953" s="3" t="inlineStr">
        <is>
          <t>Russia</t>
        </is>
      </c>
      <c r="C953" s="3" t="inlineStr">
        <is>
          <t>пгт Черкизово (г.о. Пушкинский, Московская обл.)</t>
        </is>
      </c>
      <c r="D953" s="3" t="inlineStr">
        <is>
          <t>Russian State University of Tourism and Service (RGUTIS)</t>
        </is>
      </c>
      <c r="E953" s="3" t="inlineStr">
        <is>
          <t>Российский государственный университет туризма и сервиса (РГУТИС)</t>
        </is>
      </c>
      <c r="F953" s="3" t="inlineStr">
        <is>
          <t>https://rguts.ru</t>
        </is>
      </c>
      <c r="G953" s="3" t="inlineStr"/>
      <c r="H953" s="3" t="inlineStr"/>
      <c r="I953" s="3" t="inlineStr"/>
      <c r="J953" s="4" t="inlineStr">
        <is>
          <t>не в рейтинге</t>
        </is>
      </c>
      <c r="K953" s="4" t="inlineStr">
        <is>
          <t>не в рейтинге</t>
        </is>
      </c>
      <c r="L953" s="4" t="inlineStr">
        <is>
          <t>нет в опубл. списке (опубликован только топ-15 страны)</t>
        </is>
      </c>
      <c r="M953" s="4" t="inlineStr">
        <is>
          <t>RAEX-100 2026; МосМУР «Три миссии» 2025</t>
        </is>
      </c>
      <c r="N953" s="4" t="inlineStr">
        <is>
          <t>не в рейтинге</t>
        </is>
      </c>
      <c r="O953" s="4" t="inlineStr">
        <is>
          <t>https://raex-rr.com/education/russian_universities/top-100_universities/2026/ ; https://mosiur.org/ranking/</t>
        </is>
      </c>
      <c r="P953" s="4" t="n"/>
    </row>
    <row r="954">
      <c r="A954" s="3" t="inlineStr">
        <is>
          <t>Russia|Russian University of Transport (RUT (MIIT))</t>
        </is>
      </c>
      <c r="B954" s="3" t="inlineStr">
        <is>
          <t>Russia</t>
        </is>
      </c>
      <c r="C954" s="3" t="inlineStr">
        <is>
          <t>Москва</t>
        </is>
      </c>
      <c r="D954" s="3" t="inlineStr">
        <is>
          <t>Russian University of Transport (RUT (MIIT))</t>
        </is>
      </c>
      <c r="E954" s="3" t="inlineStr">
        <is>
          <t>Российский университет транспорта (РУТ (МИИТ))</t>
        </is>
      </c>
      <c r="F954" s="3" t="inlineStr">
        <is>
          <t>https://www.miit.ru</t>
        </is>
      </c>
      <c r="G954" s="3" t="inlineStr"/>
      <c r="H954" s="3" t="inlineStr">
        <is>
          <t>THE2027: 2001+</t>
        </is>
      </c>
      <c r="I954" s="3" t="inlineStr">
        <is>
          <t>RAEX2026: 75</t>
        </is>
      </c>
      <c r="J954" s="4" t="inlineStr">
        <is>
          <t>не в рейтинге</t>
        </is>
      </c>
      <c r="K954" s="4" t="inlineStr">
        <is>
          <t>2001+</t>
        </is>
      </c>
      <c r="L954" s="4" t="inlineStr">
        <is>
          <t>нет в опубл. списке (опубликован только топ-15 страны)</t>
        </is>
      </c>
      <c r="M954" s="4" t="inlineStr">
        <is>
          <t>RAEX-100 2026</t>
        </is>
      </c>
      <c r="N954" s="4" t="inlineStr">
        <is>
          <t>75</t>
        </is>
      </c>
      <c r="O954" s="4" t="inlineStr">
        <is>
          <t>https://www.timeshighereducation.com/world-university-rankings/2027/world-ranking
https://raex-rr.com/education/russian_universities/top-100_universities/2026/</t>
        </is>
      </c>
      <c r="P954" s="4" t="n"/>
    </row>
    <row r="955">
      <c r="A955" s="3" t="inlineStr">
        <is>
          <t>Russia|Ryazan State Radio Engineering University named after V.F. Utkin (RSREU)</t>
        </is>
      </c>
      <c r="B955" s="3" t="inlineStr">
        <is>
          <t>Russia</t>
        </is>
      </c>
      <c r="C955" s="3" t="inlineStr">
        <is>
          <t>Рязань</t>
        </is>
      </c>
      <c r="D955" s="3" t="inlineStr">
        <is>
          <t>Ryazan State Radio Engineering University named after V.F. Utkin (RSREU)</t>
        </is>
      </c>
      <c r="E955" s="3" t="inlineStr">
        <is>
          <t>Рязанский государственный радиотехнический университет им. В.Ф. Уткина (РГРТУ)</t>
        </is>
      </c>
      <c r="F955" s="3" t="inlineStr">
        <is>
          <t>https://rsreu.ru</t>
        </is>
      </c>
      <c r="G955" s="3" t="inlineStr"/>
      <c r="H955" s="3" t="inlineStr"/>
      <c r="I955" s="3" t="inlineStr"/>
      <c r="J955" s="4" t="inlineStr">
        <is>
          <t>не в рейтинге</t>
        </is>
      </c>
      <c r="K955" s="4" t="inlineStr">
        <is>
          <t>не в рейтинге</t>
        </is>
      </c>
      <c r="L955" s="4" t="inlineStr">
        <is>
          <t>нет в опубл. списке (опубликован только топ-15 страны)</t>
        </is>
      </c>
      <c r="M955" s="4" t="inlineStr">
        <is>
          <t>RAEX-100 2026; МосМУР «Три миссии» 2025</t>
        </is>
      </c>
      <c r="N955" s="4" t="inlineStr">
        <is>
          <t>не в рейтинге</t>
        </is>
      </c>
      <c r="O955" s="4" t="inlineStr">
        <is>
          <t>https://raex-rr.com/education/russian_universities/top-100_universities/2026/ ; https://mosiur.org/ranking/</t>
        </is>
      </c>
      <c r="P955" s="4" t="n"/>
    </row>
    <row r="956">
      <c r="A956" s="3" t="inlineStr">
        <is>
          <t>Russia|Saint Petersburg Electrotechnical University "LETI" (ETU)</t>
        </is>
      </c>
      <c r="B956" s="3" t="inlineStr">
        <is>
          <t>Russia</t>
        </is>
      </c>
      <c r="C956" s="3" t="inlineStr">
        <is>
          <t>Санкт-Петербург</t>
        </is>
      </c>
      <c r="D956" s="3" t="inlineStr">
        <is>
          <t>Saint Petersburg Electrotechnical University "LETI" (ETU)</t>
        </is>
      </c>
      <c r="E956" s="3" t="inlineStr">
        <is>
          <t>Санкт-Петербургский государственный электротехнический университет «ЛЭТИ» им. В.И. Ульянова (Ленина) (СПбГЭТУ «ЛЭТИ»)</t>
        </is>
      </c>
      <c r="F956" s="3" t="inlineStr">
        <is>
          <t>https://etu.ru</t>
        </is>
      </c>
      <c r="G956" s="3" t="inlineStr"/>
      <c r="H956" s="3" t="inlineStr">
        <is>
          <t>THE2027: 1801–2000</t>
        </is>
      </c>
      <c r="I956" s="3" t="inlineStr">
        <is>
          <t>RAEX2026: 34</t>
        </is>
      </c>
      <c r="J956" s="4" t="inlineStr">
        <is>
          <t>1201–1400</t>
        </is>
      </c>
      <c r="K956" s="4" t="inlineStr">
        <is>
          <t>1801–2000</t>
        </is>
      </c>
      <c r="L956" s="4" t="inlineStr">
        <is>
          <t>нет в опубл. списке (опубликован только топ-15 страны)</t>
        </is>
      </c>
      <c r="M956" s="4" t="inlineStr">
        <is>
          <t>RAEX-100 2026</t>
        </is>
      </c>
      <c r="N956" s="4" t="inlineStr">
        <is>
          <t>34</t>
        </is>
      </c>
      <c r="O956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956" s="4" t="inlineStr">
        <is>
          <t>QS: в таблице как «Saint Petersburg Electrotechnical University ETU-LETI»</t>
        </is>
      </c>
    </row>
    <row r="957">
      <c r="A957" s="3" t="inlineStr">
        <is>
          <t>Russia|Saint Petersburg State Forest Technical University named after S.M. Kirov (SPbFTU)</t>
        </is>
      </c>
      <c r="B957" s="3" t="inlineStr">
        <is>
          <t>Russia</t>
        </is>
      </c>
      <c r="C957" s="3" t="inlineStr">
        <is>
          <t>Санкт-Петербург</t>
        </is>
      </c>
      <c r="D957" s="3" t="inlineStr">
        <is>
          <t>Saint Petersburg State Forest Technical University named after S.M. Kirov (SPbFTU)</t>
        </is>
      </c>
      <c r="E957" s="3" t="inlineStr">
        <is>
          <t>Санкт-Петербургский государственный лесотехнический университет имени С.М. Кирова</t>
        </is>
      </c>
      <c r="F957" s="3" t="inlineStr">
        <is>
          <t>https://spbftu.ru</t>
        </is>
      </c>
      <c r="G957" s="3" t="inlineStr"/>
      <c r="H957" s="3" t="inlineStr"/>
      <c r="I957" s="3" t="inlineStr"/>
      <c r="J957" s="4" t="inlineStr">
        <is>
          <t>не в рейтинге</t>
        </is>
      </c>
      <c r="K957" s="4" t="inlineStr">
        <is>
          <t>не в рейтинге</t>
        </is>
      </c>
      <c r="L957" s="4" t="inlineStr">
        <is>
          <t>нет в опубл. списке (опубликован только топ-15 страны)</t>
        </is>
      </c>
      <c r="M957" s="4" t="inlineStr">
        <is>
          <t>RAEX-100 2026; МосМУР «Три миссии» 2025</t>
        </is>
      </c>
      <c r="N957" s="4" t="inlineStr">
        <is>
          <t>не в рейтинге</t>
        </is>
      </c>
      <c r="O957" s="4" t="inlineStr">
        <is>
          <t>https://raex-rr.com/education/russian_universities/top-100_universities/2026/ ; https://mosiur.org/ranking/</t>
        </is>
      </c>
      <c r="P957" s="4" t="n"/>
    </row>
    <row r="958">
      <c r="A958" s="3" t="inlineStr">
        <is>
          <t>Russia|Saint Petersburg State Institute of Technology (Technical University)</t>
        </is>
      </c>
      <c r="B958" s="3" t="inlineStr">
        <is>
          <t>Russia</t>
        </is>
      </c>
      <c r="C958" s="3" t="inlineStr">
        <is>
          <t>Санкт-Петербург</t>
        </is>
      </c>
      <c r="D958" s="3" t="inlineStr">
        <is>
          <t>Saint Petersburg State Institute of Technology (Technical University)</t>
        </is>
      </c>
      <c r="E958" s="3" t="inlineStr">
        <is>
          <t>Санкт-Петербургский государственный технологический институт (технический университет)</t>
        </is>
      </c>
      <c r="F958" s="3" t="inlineStr">
        <is>
          <t>https://spbti.ru</t>
        </is>
      </c>
      <c r="G958" s="3" t="inlineStr"/>
      <c r="H958" s="3" t="inlineStr"/>
      <c r="I958" s="3" t="inlineStr"/>
      <c r="J958" s="4" t="inlineStr">
        <is>
          <t>не в рейтинге</t>
        </is>
      </c>
      <c r="K958" s="4" t="inlineStr">
        <is>
          <t>не в рейтинге</t>
        </is>
      </c>
      <c r="L958" s="4" t="inlineStr">
        <is>
          <t>нет в опубл. списке (опубликован только топ-15 страны)</t>
        </is>
      </c>
      <c r="M958" s="4" t="inlineStr">
        <is>
          <t>RAEX-100 2026; МосМУР «Три миссии» 2025</t>
        </is>
      </c>
      <c r="N958" s="4" t="inlineStr">
        <is>
          <t>не в рейтинге</t>
        </is>
      </c>
      <c r="O958" s="4" t="inlineStr">
        <is>
          <t>https://raex-rr.com/education/russian_universities/top-100_universities/2026/ ; https://mosiur.org/ranking/</t>
        </is>
      </c>
      <c r="P958" s="4" t="n"/>
    </row>
    <row r="959">
      <c r="A959" s="3" t="inlineStr">
        <is>
          <t>Russia|Saint Petersburg State Marine Technical University (SMTU)</t>
        </is>
      </c>
      <c r="B959" s="3" t="inlineStr">
        <is>
          <t>Russia</t>
        </is>
      </c>
      <c r="C959" s="3" t="inlineStr">
        <is>
          <t>Санкт-Петербург</t>
        </is>
      </c>
      <c r="D959" s="3" t="inlineStr">
        <is>
          <t>Saint Petersburg State Marine Technical University (SMTU)</t>
        </is>
      </c>
      <c r="E959" s="3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 (СПбГМТУ, «Корабелка»)</t>
        </is>
      </c>
      <c r="F959" s="3" t="inlineStr">
        <is>
          <t>https://www.smtu.ru</t>
        </is>
      </c>
      <c r="G959" s="3" t="inlineStr"/>
      <c r="H959" s="3" t="inlineStr"/>
      <c r="I959" s="3" t="inlineStr">
        <is>
          <t>RAEX2026: 84</t>
        </is>
      </c>
      <c r="J959" s="4" t="inlineStr">
        <is>
          <t>не в рейтинге</t>
        </is>
      </c>
      <c r="K959" s="4" t="inlineStr">
        <is>
          <t>не в рейтинге</t>
        </is>
      </c>
      <c r="L959" s="4" t="inlineStr">
        <is>
          <t>нет в опубл. списке (опубликован только топ-15 страны)</t>
        </is>
      </c>
      <c r="M959" s="4" t="inlineStr">
        <is>
          <t>МосМУР «Три миссии университета» 2025 (мировой, место в мире)</t>
        </is>
      </c>
      <c r="N959" s="4" t="inlineStr">
        <is>
          <t>1201–1300</t>
        </is>
      </c>
      <c r="O959" s="4" t="inlineStr">
        <is>
          <t>https://mosiur.org/ranking/</t>
        </is>
      </c>
      <c r="P959" s="4" t="inlineStr">
        <is>
          <t>в RAEX-100 2026 отсутствует</t>
        </is>
      </c>
    </row>
    <row r="960">
      <c r="A960" s="3" t="inlineStr">
        <is>
          <t>Russia|Saint Petersburg State University (SPbU)</t>
        </is>
      </c>
      <c r="B960" s="3" t="inlineStr">
        <is>
          <t>Russia</t>
        </is>
      </c>
      <c r="C960" s="3" t="inlineStr">
        <is>
          <t>Санкт-Петербург</t>
        </is>
      </c>
      <c r="D960" s="3" t="inlineStr">
        <is>
          <t>Saint Petersburg State University (SPbU)</t>
        </is>
      </c>
      <c r="E960" s="3" t="inlineStr">
        <is>
          <t>Санкт-Петербургский государственный университет</t>
        </is>
      </c>
      <c r="F960" s="3" t="inlineStr">
        <is>
          <t>https://spbu.ru</t>
        </is>
      </c>
      <c r="G960" s="3" t="inlineStr">
        <is>
          <t>QS2027: 390</t>
        </is>
      </c>
      <c r="H960" s="3" t="inlineStr"/>
      <c r="I960" s="3" t="inlineStr">
        <is>
          <t>RAEX2026: 4</t>
        </is>
      </c>
      <c r="J960" s="4">
        <f>390</f>
        <v/>
      </c>
      <c r="K960" s="4" t="inlineStr">
        <is>
          <t>не в рейтинге</t>
        </is>
      </c>
      <c r="L960" s="4" t="inlineStr">
        <is>
          <t>585</t>
        </is>
      </c>
      <c r="M960" s="4" t="inlineStr">
        <is>
          <t>RAEX-100 2026</t>
        </is>
      </c>
      <c r="N960" s="4" t="inlineStr">
        <is>
          <t>4</t>
        </is>
      </c>
      <c r="O960" s="4" t="inlineStr">
        <is>
          <t>https://www.topuniversities.com/world-university-rankings (QS WUR 2027)
https://figshare.com/articles/preprint/Ranking_Web_of_Universities_webometrics_info_July_2026_edition/33062150
https://raex-rr.com/education/russian_universities/top-100_universities/2026/</t>
        </is>
      </c>
      <c r="P960" s="4" t="n"/>
    </row>
    <row r="961">
      <c r="A961" s="3" t="inlineStr">
        <is>
          <t>Russia|Saint Petersburg State University of Aerospace Instrumentation (SUAI / GUAP)</t>
        </is>
      </c>
      <c r="B961" s="3" t="inlineStr">
        <is>
          <t>Russia</t>
        </is>
      </c>
      <c r="C961" s="3" t="inlineStr">
        <is>
          <t>Санкт-Петербург</t>
        </is>
      </c>
      <c r="D961" s="3" t="inlineStr">
        <is>
          <t>Saint Petersburg State University of Aerospace Instrumentation (SUAI / GUAP)</t>
        </is>
      </c>
      <c r="E961" s="3" t="inlineStr">
        <is>
          <t>Санкт-Петербургский государственный университет аэрокосмического приборостроения (ГУАП)</t>
        </is>
      </c>
      <c r="F961" s="3" t="inlineStr">
        <is>
          <t>https://guap.ru</t>
        </is>
      </c>
      <c r="G961" s="3" t="inlineStr"/>
      <c r="H961" s="3" t="inlineStr"/>
      <c r="I961" s="3" t="inlineStr"/>
      <c r="J961" s="4" t="inlineStr">
        <is>
          <t>не в рейтинге</t>
        </is>
      </c>
      <c r="K961" s="4" t="inlineStr">
        <is>
          <t>не в рейтинге</t>
        </is>
      </c>
      <c r="L961" s="4" t="inlineStr">
        <is>
          <t>нет в опубл. списке (опубликован только топ-15 страны)</t>
        </is>
      </c>
      <c r="M961" s="4" t="inlineStr">
        <is>
          <t>RAEX-100 2026; МосМУР «Три миссии» 2025</t>
        </is>
      </c>
      <c r="N961" s="4" t="inlineStr">
        <is>
          <t>не в рейтинге</t>
        </is>
      </c>
      <c r="O961" s="4" t="inlineStr">
        <is>
          <t>https://raex-rr.com/education/russian_universities/top-100_universities/2026/ ; https://mosiur.org/ranking/</t>
        </is>
      </c>
      <c r="P961" s="4" t="n"/>
    </row>
    <row r="962">
      <c r="A962" s="3" t="inlineStr">
        <is>
          <t>Russia|Saint Petersburg State University of Architecture and Civil Engineering (SPbGASU)</t>
        </is>
      </c>
      <c r="B962" s="3" t="inlineStr">
        <is>
          <t>Russia</t>
        </is>
      </c>
      <c r="C962" s="3" t="inlineStr">
        <is>
          <t>Санкт-Петербург</t>
        </is>
      </c>
      <c r="D962" s="3" t="inlineStr">
        <is>
          <t>Saint Petersburg State University of Architecture and Civil Engineering (SPbGASU)</t>
        </is>
      </c>
      <c r="E962" s="3" t="inlineStr">
        <is>
          <t>Санкт-Петербургский государственный архитектурно-строительный университет (СПбГАСУ)</t>
        </is>
      </c>
      <c r="F962" s="3" t="inlineStr">
        <is>
          <t>https://www.spbgasu.ru</t>
        </is>
      </c>
      <c r="G962" s="3" t="inlineStr"/>
      <c r="H962" s="3" t="inlineStr"/>
      <c r="I962" s="3" t="inlineStr">
        <is>
          <t>RAEX2026: 65</t>
        </is>
      </c>
      <c r="J962" s="4" t="inlineStr">
        <is>
          <t>не в рейтинге</t>
        </is>
      </c>
      <c r="K962" s="4" t="inlineStr">
        <is>
          <t>не в рейтинге</t>
        </is>
      </c>
      <c r="L962" s="4" t="inlineStr">
        <is>
          <t>нет в опубл. списке (опубликован только топ-15 страны)</t>
        </is>
      </c>
      <c r="M962" s="4" t="inlineStr">
        <is>
          <t>RAEX-100 2026</t>
        </is>
      </c>
      <c r="N962" s="4" t="inlineStr">
        <is>
          <t>65</t>
        </is>
      </c>
      <c r="O962" s="4" t="inlineStr">
        <is>
          <t>https://raex-rr.com/education/russian_universities/top-100_universities/2026/</t>
        </is>
      </c>
      <c r="P962" s="4" t="n"/>
    </row>
    <row r="963">
      <c r="A963" s="3" t="inlineStr">
        <is>
          <t>Russia|Saint Petersburg State University of Economics (UNECON)</t>
        </is>
      </c>
      <c r="B963" s="3" t="inlineStr">
        <is>
          <t>Russia</t>
        </is>
      </c>
      <c r="C963" s="3" t="inlineStr">
        <is>
          <t>Санкт-Петербург</t>
        </is>
      </c>
      <c r="D963" s="3" t="inlineStr">
        <is>
          <t>Saint Petersburg State University of Economics (UNECON)</t>
        </is>
      </c>
      <c r="E963" s="3" t="inlineStr">
        <is>
          <t>Санкт-Петербургский государственный экономический университет (СПбГЭУ)</t>
        </is>
      </c>
      <c r="F963" s="3" t="inlineStr">
        <is>
          <t>https://unecon.ru</t>
        </is>
      </c>
      <c r="G963" s="3" t="inlineStr"/>
      <c r="H963" s="3" t="inlineStr"/>
      <c r="I963" s="3" t="inlineStr">
        <is>
          <t>RAEX2026: 46</t>
        </is>
      </c>
      <c r="J963" s="4" t="inlineStr">
        <is>
          <t>не в рейтинге</t>
        </is>
      </c>
      <c r="K963" s="4" t="inlineStr">
        <is>
          <t>не в рейтинге</t>
        </is>
      </c>
      <c r="L963" s="4" t="inlineStr">
        <is>
          <t>нет в опубл. списке (опубликован только топ-15 страны)</t>
        </is>
      </c>
      <c r="M963" s="4" t="inlineStr">
        <is>
          <t>RAEX-100 2026</t>
        </is>
      </c>
      <c r="N963" s="4" t="inlineStr">
        <is>
          <t>46</t>
        </is>
      </c>
      <c r="O963" s="4" t="inlineStr">
        <is>
          <t>https://raex-rr.com/education/russian_universities/top-100_universities/2026/</t>
        </is>
      </c>
      <c r="P963" s="4" t="n"/>
    </row>
    <row r="964">
      <c r="A964" s="3" t="inlineStr">
        <is>
          <t>Russia|Sakhalin State University</t>
        </is>
      </c>
      <c r="B964" s="3" t="inlineStr">
        <is>
          <t>Russia</t>
        </is>
      </c>
      <c r="C964" s="3" t="inlineStr">
        <is>
          <t>Южно-Сахалинск</t>
        </is>
      </c>
      <c r="D964" s="3" t="inlineStr">
        <is>
          <t>Sakhalin State University</t>
        </is>
      </c>
      <c r="E964" s="3" t="inlineStr">
        <is>
          <t>Сахалинский государственный университет</t>
        </is>
      </c>
      <c r="F964" s="3" t="inlineStr">
        <is>
          <t>https://sakhgu.ru</t>
        </is>
      </c>
      <c r="G964" s="3" t="inlineStr"/>
      <c r="H964" s="3" t="inlineStr"/>
      <c r="I964" s="3" t="inlineStr"/>
      <c r="J964" s="4" t="inlineStr">
        <is>
          <t>не в рейтинге</t>
        </is>
      </c>
      <c r="K964" s="4" t="inlineStr">
        <is>
          <t>не в рейтинге</t>
        </is>
      </c>
      <c r="L964" s="4" t="inlineStr">
        <is>
          <t>нет в опубл. списке (опубликован только топ-15 страны)</t>
        </is>
      </c>
      <c r="M964" s="4" t="inlineStr">
        <is>
          <t>RAEX-100 2026; МосМУР «Три миссии» 2025</t>
        </is>
      </c>
      <c r="N964" s="4" t="inlineStr">
        <is>
          <t>не в рейтинге</t>
        </is>
      </c>
      <c r="O964" s="4" t="inlineStr">
        <is>
          <t>https://raex-rr.com/education/russian_universities/top-100_universities/2026/ ; https://mosiur.org/ranking/</t>
        </is>
      </c>
      <c r="P964" s="4" t="n"/>
    </row>
    <row r="965">
      <c r="A965" s="3" t="inlineStr">
        <is>
          <t>Russia|Samara National Research University (Samara University)</t>
        </is>
      </c>
      <c r="B965" s="3" t="inlineStr">
        <is>
          <t>Russia</t>
        </is>
      </c>
      <c r="C965" s="3" t="inlineStr">
        <is>
          <t>Самара</t>
        </is>
      </c>
      <c r="D965" s="3" t="inlineStr">
        <is>
          <t>Samara National Research University (Samara University)</t>
        </is>
      </c>
      <c r="E965" s="3" t="inlineStr">
        <is>
          <t>Самарский национальный исследовательский университет имени академика С.П. Королёва</t>
        </is>
      </c>
      <c r="F965" s="3" t="inlineStr">
        <is>
          <t>https://ssau.ru</t>
        </is>
      </c>
      <c r="G965" s="3" t="inlineStr">
        <is>
          <t>QS2027: 1201-1400</t>
        </is>
      </c>
      <c r="H965" s="3" t="inlineStr">
        <is>
          <t>THE2027: 2001+</t>
        </is>
      </c>
      <c r="I965" s="3" t="inlineStr">
        <is>
          <t>RAEX2026: 45</t>
        </is>
      </c>
      <c r="J965" s="4" t="inlineStr">
        <is>
          <t>1201–1400</t>
        </is>
      </c>
      <c r="K965" s="4" t="inlineStr">
        <is>
          <t>2001+</t>
        </is>
      </c>
      <c r="L965" s="4" t="inlineStr">
        <is>
          <t>нет в опубл. списке (опубликован только топ-15 страны)</t>
        </is>
      </c>
      <c r="M965" s="4" t="inlineStr">
        <is>
          <t>RAEX-100 2026</t>
        </is>
      </c>
      <c r="N965" s="4" t="inlineStr">
        <is>
          <t>45</t>
        </is>
      </c>
      <c r="O965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965" s="4" t="n"/>
    </row>
    <row r="966">
      <c r="A966" s="3" t="inlineStr">
        <is>
          <t>Russia|Samara State Technical University (SamGTU)</t>
        </is>
      </c>
      <c r="B966" s="3" t="inlineStr">
        <is>
          <t>Russia</t>
        </is>
      </c>
      <c r="C966" s="3" t="inlineStr">
        <is>
          <t>Самара</t>
        </is>
      </c>
      <c r="D966" s="3" t="inlineStr">
        <is>
          <t>Samara State Technical University (SamGTU)</t>
        </is>
      </c>
      <c r="E966" s="3" t="inlineStr">
        <is>
          <t>Самарский государственный технический университет (СамГТУ)</t>
        </is>
      </c>
      <c r="F966" s="3" t="inlineStr">
        <is>
          <t>https://samgtu.ru</t>
        </is>
      </c>
      <c r="G966" s="3" t="inlineStr"/>
      <c r="H966" s="3" t="inlineStr">
        <is>
          <t>THE2027: 2001+</t>
        </is>
      </c>
      <c r="I966" s="3" t="inlineStr">
        <is>
          <t>RAEX2026: 87</t>
        </is>
      </c>
      <c r="J966" s="4" t="inlineStr">
        <is>
          <t>не в рейтинге</t>
        </is>
      </c>
      <c r="K966" s="4" t="inlineStr">
        <is>
          <t>2001+</t>
        </is>
      </c>
      <c r="L966" s="4" t="inlineStr">
        <is>
          <t>нет в опубл. списке (опубликован только топ-15 страны)</t>
        </is>
      </c>
      <c r="M966" s="4" t="inlineStr">
        <is>
          <t>RAEX-100 2026</t>
        </is>
      </c>
      <c r="N966" s="4" t="inlineStr">
        <is>
          <t>87</t>
        </is>
      </c>
      <c r="O966" s="4" t="inlineStr">
        <is>
          <t>https://www.timeshighereducation.com/world-university-rankings/2027/world-ranking
https://raex-rr.com/education/russian_universities/top-100_universities/2026/</t>
        </is>
      </c>
      <c r="P966" s="4" t="n"/>
    </row>
    <row r="967">
      <c r="A967" s="3" t="inlineStr">
        <is>
          <t>Russia|Saratov State University (Saratov National Research State University named after N.G. Chernyshevsky)</t>
        </is>
      </c>
      <c r="B967" s="3" t="inlineStr">
        <is>
          <t>Russia</t>
        </is>
      </c>
      <c r="C967" s="3" t="inlineStr">
        <is>
          <t>Саратов</t>
        </is>
      </c>
      <c r="D967" s="3" t="inlineStr">
        <is>
          <t>Saratov State University (Saratov National Research State University named after N.G. Chernyshevsky)</t>
        </is>
      </c>
      <c r="E967" s="3" t="inlineStr">
        <is>
          <t>Саратовский национальный исследовательский государственный университет имени Н.Г. Чернышевского</t>
        </is>
      </c>
      <c r="F967" s="3" t="inlineStr">
        <is>
          <t>https://www.sgu.ru</t>
        </is>
      </c>
      <c r="G967" s="3" t="inlineStr">
        <is>
          <t>QS2027: 1201–1400</t>
        </is>
      </c>
      <c r="H967" s="3" t="inlineStr"/>
      <c r="I967" s="3" t="inlineStr">
        <is>
          <t>RAEX2026: 81</t>
        </is>
      </c>
      <c r="J967" s="4" t="inlineStr">
        <is>
          <t>1201–1400</t>
        </is>
      </c>
      <c r="K967" s="4" t="inlineStr">
        <is>
          <t>не в рейтинге</t>
        </is>
      </c>
      <c r="L967" s="4" t="inlineStr">
        <is>
          <t>нет в опубл. списке (опубликован только топ-15 страны)</t>
        </is>
      </c>
      <c r="M967" s="4" t="inlineStr">
        <is>
          <t>RAEX-100 2026</t>
        </is>
      </c>
      <c r="N967" s="4" t="inlineStr">
        <is>
          <t>81</t>
        </is>
      </c>
      <c r="O967" s="4" t="inlineStr">
        <is>
          <t>https://www.topuniversities.com/world-university-rankings (QS WUR 2027)
https://raex-rr.com/education/russian_universities/top-100_universities/2026/</t>
        </is>
      </c>
      <c r="P967" s="4" t="inlineStr">
        <is>
          <t>QS: в таблице как «National Research Saratov State University»</t>
        </is>
      </c>
    </row>
    <row r="968">
      <c r="A968" s="3" t="inlineStr">
        <is>
          <t>Russia|Sevastopol State University (SevSU)</t>
        </is>
      </c>
      <c r="B968" s="3" t="inlineStr">
        <is>
          <t>Russia</t>
        </is>
      </c>
      <c r="C968" s="3" t="inlineStr">
        <is>
          <t>Севастополь</t>
        </is>
      </c>
      <c r="D968" s="3" t="inlineStr">
        <is>
          <t>Sevastopol State University (SevSU)</t>
        </is>
      </c>
      <c r="E968" s="3" t="inlineStr">
        <is>
          <t>Севастопольский государственный университет (СевГУ)</t>
        </is>
      </c>
      <c r="F968" s="3" t="inlineStr">
        <is>
          <t>https://www.sevsu.ru</t>
        </is>
      </c>
      <c r="G968" s="3" t="inlineStr"/>
      <c r="H968" s="3" t="inlineStr"/>
      <c r="I968" s="3" t="inlineStr"/>
      <c r="J968" s="4" t="inlineStr">
        <is>
          <t>не в рейтинге</t>
        </is>
      </c>
      <c r="K968" s="4" t="inlineStr">
        <is>
          <t>не в рейтинге</t>
        </is>
      </c>
      <c r="L968" s="4" t="inlineStr">
        <is>
          <t>нет в опубл. списке (опубликован только топ-15 страны)</t>
        </is>
      </c>
      <c r="M968" s="4" t="inlineStr">
        <is>
          <t>МосМУР «Три миссии университета» 2025 (мировой, место в мире)</t>
        </is>
      </c>
      <c r="N968" s="4" t="inlineStr">
        <is>
          <t>1751–2000</t>
        </is>
      </c>
      <c r="O968" s="4" t="inlineStr">
        <is>
          <t>https://mosiur.org/ranking/</t>
        </is>
      </c>
      <c r="P968" s="4" t="inlineStr">
        <is>
          <t>в RAEX-100 2026 отсутствует</t>
        </is>
      </c>
    </row>
    <row r="969">
      <c r="A969" s="3" t="inlineStr">
        <is>
          <t>Russia|Siberian Federal University (SibFU)</t>
        </is>
      </c>
      <c r="B969" s="3" t="inlineStr">
        <is>
          <t>Russia</t>
        </is>
      </c>
      <c r="C969" s="3" t="inlineStr">
        <is>
          <t>Красноярск</t>
        </is>
      </c>
      <c r="D969" s="3" t="inlineStr">
        <is>
          <t>Siberian Federal University (SibFU)</t>
        </is>
      </c>
      <c r="E969" s="3" t="inlineStr">
        <is>
          <t>Сибирский федеральный университет</t>
        </is>
      </c>
      <c r="F969" s="3" t="inlineStr">
        <is>
          <t>https://www.sfu-kras.ru</t>
        </is>
      </c>
      <c r="G969" s="3" t="inlineStr">
        <is>
          <t>QS2027: 1001–1200</t>
        </is>
      </c>
      <c r="H969" s="3" t="inlineStr">
        <is>
          <t>THE2027: 1001–1200</t>
        </is>
      </c>
      <c r="I969" s="3" t="inlineStr">
        <is>
          <t>RAEX2026: 23</t>
        </is>
      </c>
      <c r="J969" s="4" t="inlineStr">
        <is>
          <t>1001–1200</t>
        </is>
      </c>
      <c r="K969" s="4" t="inlineStr">
        <is>
          <t>1001–1200</t>
        </is>
      </c>
      <c r="L969" s="4" t="inlineStr">
        <is>
          <t>нет в опубл. списке (опубликован только топ-15 страны)</t>
        </is>
      </c>
      <c r="M969" s="4" t="inlineStr">
        <is>
          <t>RAEX-100 2026</t>
        </is>
      </c>
      <c r="N969" s="4" t="inlineStr">
        <is>
          <t>23</t>
        </is>
      </c>
      <c r="O969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969" s="4" t="n"/>
    </row>
    <row r="970">
      <c r="A970" s="3" t="inlineStr">
        <is>
          <t>Russia|Siberian State University of Geosystems and Technologies (SGUGiT)</t>
        </is>
      </c>
      <c r="B970" s="3" t="inlineStr">
        <is>
          <t>Russia</t>
        </is>
      </c>
      <c r="C970" s="3" t="inlineStr">
        <is>
          <t>Новосибирск</t>
        </is>
      </c>
      <c r="D970" s="3" t="inlineStr">
        <is>
          <t>Siberian State University of Geosystems and Technologies (SGUGiT)</t>
        </is>
      </c>
      <c r="E970" s="3" t="inlineStr">
        <is>
          <t>Сибирский государственный университет геосистем и технологий</t>
        </is>
      </c>
      <c r="F970" s="3" t="inlineStr">
        <is>
          <t>https://sgugit.ru</t>
        </is>
      </c>
      <c r="G970" s="3" t="inlineStr"/>
      <c r="H970" s="3" t="inlineStr"/>
      <c r="I970" s="3" t="inlineStr"/>
      <c r="J970" s="4" t="inlineStr">
        <is>
          <t>не в рейтинге</t>
        </is>
      </c>
      <c r="K970" s="4" t="inlineStr">
        <is>
          <t>не в рейтинге</t>
        </is>
      </c>
      <c r="L970" s="4" t="inlineStr">
        <is>
          <t>нет в опубл. списке (опубликован только топ-15 страны)</t>
        </is>
      </c>
      <c r="M970" s="4" t="inlineStr">
        <is>
          <t>RAEX-100 2026; МосМУР «Три миссии» 2025</t>
        </is>
      </c>
      <c r="N970" s="4" t="inlineStr">
        <is>
          <t>не в рейтинге</t>
        </is>
      </c>
      <c r="O970" s="4" t="inlineStr">
        <is>
          <t>https://raex-rr.com/education/russian_universities/top-100_universities/2026/ ; https://mosiur.org/ranking/</t>
        </is>
      </c>
      <c r="P970" s="4" t="n"/>
    </row>
    <row r="971">
      <c r="A971" s="3" t="inlineStr">
        <is>
          <t>Russia|Sirius University of Science and Technology</t>
        </is>
      </c>
      <c r="B971" s="3" t="inlineStr">
        <is>
          <t>Russia</t>
        </is>
      </c>
      <c r="C971" s="3" t="inlineStr">
        <is>
          <t>Сириус (федеральная территория)</t>
        </is>
      </c>
      <c r="D971" s="3" t="inlineStr">
        <is>
          <t>Sirius University of Science and Technology</t>
        </is>
      </c>
      <c r="E971" s="3" t="inlineStr">
        <is>
          <t>Научно-технологический университет «Сириус»</t>
        </is>
      </c>
      <c r="F971" s="3" t="inlineStr">
        <is>
          <t>https://siriusuniversity.ru</t>
        </is>
      </c>
      <c r="G971" s="3" t="inlineStr"/>
      <c r="H971" s="3" t="inlineStr"/>
      <c r="I971" s="3" t="inlineStr"/>
      <c r="J971" s="4" t="inlineStr">
        <is>
          <t>не в рейтинге</t>
        </is>
      </c>
      <c r="K971" s="4" t="inlineStr">
        <is>
          <t>не в рейтинге</t>
        </is>
      </c>
      <c r="L971" s="4" t="inlineStr">
        <is>
          <t>нет в опубл. списке (опубликован только топ-15 страны)</t>
        </is>
      </c>
      <c r="M971" s="4" t="inlineStr">
        <is>
          <t>RAEX-100 2026; МосМУР «Три миссии» 2025</t>
        </is>
      </c>
      <c r="N971" s="4" t="inlineStr">
        <is>
          <t>не в рейтинге</t>
        </is>
      </c>
      <c r="O971" s="4" t="inlineStr">
        <is>
          <t>https://raex-rr.com/education/russian_universities/top-100_universities/2026/ ; https://mosiur.org/ranking/</t>
        </is>
      </c>
      <c r="P971" s="4" t="n"/>
    </row>
    <row r="972">
      <c r="A972" s="3" t="inlineStr">
        <is>
          <t>Russia|Skolkovo Institute of Science and Technology (Skoltech)</t>
        </is>
      </c>
      <c r="B972" s="3" t="inlineStr">
        <is>
          <t>Russia</t>
        </is>
      </c>
      <c r="C972" s="3" t="inlineStr">
        <is>
          <t>Москва</t>
        </is>
      </c>
      <c r="D972" s="3" t="inlineStr">
        <is>
          <t>Skolkovo Institute of Science and Technology (Skoltech)</t>
        </is>
      </c>
      <c r="E972" s="3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972" s="3" t="inlineStr">
        <is>
          <t>https://www.skoltech.ru</t>
        </is>
      </c>
      <c r="G972" s="3" t="inlineStr"/>
      <c r="H972" s="3" t="inlineStr">
        <is>
          <t>THE2027: Reporter (unranked)</t>
        </is>
      </c>
      <c r="I972" s="3" t="inlineStr"/>
      <c r="J972" s="4" t="inlineStr">
        <is>
          <t>не в рейтинге</t>
        </is>
      </c>
      <c r="K972" s="4" t="inlineStr">
        <is>
          <t>Reporter</t>
        </is>
      </c>
      <c r="L972" s="4" t="inlineStr">
        <is>
          <t>нет в опубл. списке (опубликован только топ-15 страны)</t>
        </is>
      </c>
      <c r="M972" s="4" t="inlineStr">
        <is>
          <t>RAEX-100 2026; МосМУР «Три миссии» 2025</t>
        </is>
      </c>
      <c r="N972" s="4" t="inlineStr">
        <is>
          <t>не в рейтинге</t>
        </is>
      </c>
      <c r="O972" s="4" t="inlineStr">
        <is>
          <t>https://www.timeshighereducation.com/world-university-rankings/2027/world-ranking
https://raex-rr.com/education/russian_universities/top-100_universities/2026/ ; https://mosiur.org/ranking/</t>
        </is>
      </c>
      <c r="P972" s="4" t="n"/>
    </row>
    <row r="973">
      <c r="A973" s="3" t="inlineStr">
        <is>
          <t>Russia|Smolensk State University (SmolSU)</t>
        </is>
      </c>
      <c r="B973" s="3" t="inlineStr">
        <is>
          <t>Russia</t>
        </is>
      </c>
      <c r="C973" s="3" t="inlineStr">
        <is>
          <t>Смоленск</t>
        </is>
      </c>
      <c r="D973" s="3" t="inlineStr">
        <is>
          <t>Smolensk State University (SmolSU)</t>
        </is>
      </c>
      <c r="E973" s="3" t="inlineStr">
        <is>
          <t>Смоленский государственный университет (СмолГУ)</t>
        </is>
      </c>
      <c r="F973" s="3" t="inlineStr">
        <is>
          <t>https://smolgu.ru</t>
        </is>
      </c>
      <c r="G973" s="3" t="inlineStr"/>
      <c r="H973" s="3" t="inlineStr"/>
      <c r="I973" s="3" t="inlineStr"/>
      <c r="J973" s="4" t="inlineStr">
        <is>
          <t>не в рейтинге</t>
        </is>
      </c>
      <c r="K973" s="4" t="inlineStr">
        <is>
          <t>не в рейтинге</t>
        </is>
      </c>
      <c r="L973" s="4" t="inlineStr">
        <is>
          <t>нет в опубл. списке (опубликован только топ-15 страны)</t>
        </is>
      </c>
      <c r="M973" s="4" t="inlineStr">
        <is>
          <t>RAEX-100 2026; МосМУР «Три миссии» 2025</t>
        </is>
      </c>
      <c r="N973" s="4" t="inlineStr">
        <is>
          <t>не в рейтинге</t>
        </is>
      </c>
      <c r="O973" s="4" t="inlineStr">
        <is>
          <t>https://raex-rr.com/education/russian_universities/top-100_universities/2026/ ; https://mosiur.org/ranking/</t>
        </is>
      </c>
      <c r="P973" s="4" t="n"/>
    </row>
    <row r="974">
      <c r="A974" s="3" t="inlineStr">
        <is>
          <t>Russia|South Ural State Agrarian University (SUSAU)</t>
        </is>
      </c>
      <c r="B974" s="3" t="inlineStr">
        <is>
          <t>Russia</t>
        </is>
      </c>
      <c r="C974" s="3" t="inlineStr">
        <is>
          <t>Троицк (кампус в Челябинске)</t>
        </is>
      </c>
      <c r="D974" s="3" t="inlineStr">
        <is>
          <t>South Ural State Agrarian University (SUSAU)</t>
        </is>
      </c>
      <c r="E974" s="3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 (ЮУрГАУ)</t>
        </is>
      </c>
      <c r="F974" s="3" t="inlineStr">
        <is>
          <t>https://sursau.ru</t>
        </is>
      </c>
      <c r="G974" s="3" t="inlineStr"/>
      <c r="H974" s="3" t="inlineStr"/>
      <c r="I974" s="3" t="inlineStr"/>
      <c r="J974" s="4" t="inlineStr">
        <is>
          <t>не в рейтинге</t>
        </is>
      </c>
      <c r="K974" s="4" t="inlineStr">
        <is>
          <t>не в рейтинге</t>
        </is>
      </c>
      <c r="L974" s="4" t="inlineStr">
        <is>
          <t>нет в опубл. списке (опубликован только топ-15 страны)</t>
        </is>
      </c>
      <c r="M974" s="4" t="inlineStr">
        <is>
          <t>RAEX-100 2026; МосМУР «Три миссии» 2025</t>
        </is>
      </c>
      <c r="N974" s="4" t="inlineStr">
        <is>
          <t>не в рейтинге</t>
        </is>
      </c>
      <c r="O974" s="4" t="inlineStr">
        <is>
          <t>https://raex-rr.com/education/russian_universities/top-100_universities/2026/ ; https://mosiur.org/ranking/</t>
        </is>
      </c>
      <c r="P974" s="4" t="n"/>
    </row>
    <row r="975">
      <c r="A975" s="3" t="inlineStr">
        <is>
          <t>Russia|South Ural State University (National Research University)</t>
        </is>
      </c>
      <c r="B975" s="3" t="inlineStr">
        <is>
          <t>Russia</t>
        </is>
      </c>
      <c r="C975" s="3" t="inlineStr">
        <is>
          <t>Челябинск</t>
        </is>
      </c>
      <c r="D975" s="3" t="inlineStr">
        <is>
          <t>South Ural State University (National Research University)</t>
        </is>
      </c>
      <c r="E975" s="3" t="inlineStr">
        <is>
          <t>Южно-Уральский государственный университет (национальный исследовательский университет)</t>
        </is>
      </c>
      <c r="F975" s="3" t="inlineStr">
        <is>
          <t>https://www.susu.ru</t>
        </is>
      </c>
      <c r="G975" s="3" t="inlineStr"/>
      <c r="H975" s="3" t="inlineStr"/>
      <c r="I975" s="3" t="inlineStr">
        <is>
          <t>RAEX2026: 42</t>
        </is>
      </c>
      <c r="J975" s="4" t="inlineStr">
        <is>
          <t>951–1000</t>
        </is>
      </c>
      <c r="K975" s="4" t="inlineStr">
        <is>
          <t>не в рейтинге</t>
        </is>
      </c>
      <c r="L975" s="4" t="inlineStr">
        <is>
          <t>1029</t>
        </is>
      </c>
      <c r="M975" s="4" t="inlineStr">
        <is>
          <t>RAEX-100 2026</t>
        </is>
      </c>
      <c r="N975" s="4" t="inlineStr">
        <is>
          <t>42</t>
        </is>
      </c>
      <c r="O975" s="4" t="inlineStr">
        <is>
          <t>https://www.topuniversities.com/world-university-rankings (QS WUR 2027)
https://figshare.com/articles/preprint/Ranking_Web_of_Universities_webometrics_info_July_2026_edition/33062150
https://raex-rr.com/education/russian_universities/top-100_universities/2026/</t>
        </is>
      </c>
      <c r="P975" s="4" t="n"/>
    </row>
    <row r="976">
      <c r="A976" s="3" t="inlineStr">
        <is>
          <t>Russia|Southern Federal University (SFedU)</t>
        </is>
      </c>
      <c r="B976" s="3" t="inlineStr">
        <is>
          <t>Russia</t>
        </is>
      </c>
      <c r="C976" s="3" t="inlineStr">
        <is>
          <t>Ростов-на-Дону</t>
        </is>
      </c>
      <c r="D976" s="3" t="inlineStr">
        <is>
          <t>Southern Federal University (SFedU)</t>
        </is>
      </c>
      <c r="E976" s="3" t="inlineStr">
        <is>
          <t>Южный федеральный университет</t>
        </is>
      </c>
      <c r="F976" s="3" t="inlineStr">
        <is>
          <t>https://sfedu.ru</t>
        </is>
      </c>
      <c r="G976" s="3" t="inlineStr"/>
      <c r="H976" s="3" t="inlineStr">
        <is>
          <t>THE2027: 1601–1800</t>
        </is>
      </c>
      <c r="I976" s="3" t="inlineStr">
        <is>
          <t>RAEX2026: 31</t>
        </is>
      </c>
      <c r="J976" s="4" t="inlineStr">
        <is>
          <t>1001–1200</t>
        </is>
      </c>
      <c r="K976" s="4" t="inlineStr">
        <is>
          <t>1601–1800</t>
        </is>
      </c>
      <c r="L976" s="4" t="inlineStr">
        <is>
          <t>нет в опубл. списке (опубликован только топ-15 страны)</t>
        </is>
      </c>
      <c r="M976" s="4" t="inlineStr">
        <is>
          <t>RAEX-100 2026</t>
        </is>
      </c>
      <c r="N976" s="4" t="inlineStr">
        <is>
          <t>31</t>
        </is>
      </c>
      <c r="O976" s="4" t="inlineStr">
        <is>
          <t>https://www.topuniversities.com/world-university-rankings (QS WUR 2027)
https://www.timeshighereducation.com/world-university-rankings/2027/world-ranking
https://raex-rr.com/education/russian_universities/top-100_universities/2026/</t>
        </is>
      </c>
      <c r="P976" s="4" t="n"/>
    </row>
    <row r="977">
      <c r="A977" s="3" t="inlineStr">
        <is>
          <t>Russia|Southwest State University (SWSU)</t>
        </is>
      </c>
      <c r="B977" s="3" t="inlineStr">
        <is>
          <t>Russia</t>
        </is>
      </c>
      <c r="C977" s="3" t="inlineStr">
        <is>
          <t>Курск</t>
        </is>
      </c>
      <c r="D977" s="3" t="inlineStr">
        <is>
          <t>Southwest State University (SWSU)</t>
        </is>
      </c>
      <c r="E977" s="3" t="inlineStr">
        <is>
          <t>Юго-Западный государственный университет (ЮЗГУ)</t>
        </is>
      </c>
      <c r="F977" s="3" t="inlineStr">
        <is>
          <t>https://swsu.ru</t>
        </is>
      </c>
      <c r="G977" s="3" t="inlineStr"/>
      <c r="H977" s="3" t="inlineStr"/>
      <c r="I977" s="3" t="inlineStr"/>
      <c r="J977" s="4" t="inlineStr">
        <is>
          <t>не в рейтинге</t>
        </is>
      </c>
      <c r="K977" s="4" t="inlineStr">
        <is>
          <t>не в рейтинге</t>
        </is>
      </c>
      <c r="L977" s="4" t="inlineStr">
        <is>
          <t>нет в опубл. списке (опубликован только топ-15 страны)</t>
        </is>
      </c>
      <c r="M977" s="4" t="inlineStr">
        <is>
          <t>RAEX-100 2026; МосМУР «Три миссии» 2025</t>
        </is>
      </c>
      <c r="N977" s="4" t="inlineStr">
        <is>
          <t>не в рейтинге</t>
        </is>
      </c>
      <c r="O977" s="4" t="inlineStr">
        <is>
          <t>https://raex-rr.com/education/russian_universities/top-100_universities/2026/ ; https://mosiur.org/ranking/</t>
        </is>
      </c>
      <c r="P977" s="4" t="n"/>
    </row>
    <row r="978">
      <c r="A978" s="3" t="inlineStr">
        <is>
          <t>Russia|Space Research Institute of the Russian Academy of Sciences (IKI RAS)</t>
        </is>
      </c>
      <c r="B978" s="3" t="inlineStr">
        <is>
          <t>Russia</t>
        </is>
      </c>
      <c r="C978" s="3" t="inlineStr">
        <is>
          <t>Москва</t>
        </is>
      </c>
      <c r="D978" s="3" t="inlineStr">
        <is>
          <t>Space Research Institute of the Russian Academy of Sciences (IKI RAS)</t>
        </is>
      </c>
      <c r="E978" s="3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978" s="3" t="inlineStr">
        <is>
          <t>https://iki.cosmos.ru</t>
        </is>
      </c>
      <c r="G978" s="3" t="inlineStr"/>
      <c r="H978" s="3" t="inlineStr"/>
      <c r="I978" s="3" t="inlineStr"/>
      <c r="J978" s="4" t="inlineStr">
        <is>
          <t>не в рейтинге</t>
        </is>
      </c>
      <c r="K978" s="4" t="inlineStr">
        <is>
          <t>не в рейтинге</t>
        </is>
      </c>
      <c r="L978" s="4" t="inlineStr">
        <is>
          <t>нет в опубл. списке (опубликован только топ-15 страны)</t>
        </is>
      </c>
      <c r="M978" s="4" t="inlineStr">
        <is>
          <t>RAEX-100 2026; МосМУР «Три миссии» 2025</t>
        </is>
      </c>
      <c r="N978" s="4" t="inlineStr">
        <is>
          <t>не в рейтинге</t>
        </is>
      </c>
      <c r="O978" s="4" t="inlineStr">
        <is>
          <t>https://raex-rr.com/education/russian_universities/top-100_universities/2026/ ; https://mosiur.org/ranking/</t>
        </is>
      </c>
      <c r="P978" s="4" t="n"/>
    </row>
    <row r="979">
      <c r="A979" s="3" t="inlineStr">
        <is>
          <t>Russia|State University of Land Use Planning (SULUP)</t>
        </is>
      </c>
      <c r="B979" s="3" t="inlineStr">
        <is>
          <t>Russia</t>
        </is>
      </c>
      <c r="C979" s="3" t="inlineStr">
        <is>
          <t>Москва</t>
        </is>
      </c>
      <c r="D979" s="3" t="inlineStr">
        <is>
          <t>State University of Land Use Planning (SULUP)</t>
        </is>
      </c>
      <c r="E979" s="3" t="inlineStr">
        <is>
          <t>Государственный университет по землеустройству</t>
        </is>
      </c>
      <c r="F979" s="3" t="inlineStr">
        <is>
          <t>https://www.guz.ru</t>
        </is>
      </c>
      <c r="G979" s="3" t="inlineStr"/>
      <c r="H979" s="3" t="inlineStr"/>
      <c r="I979" s="3" t="inlineStr"/>
      <c r="J979" s="4" t="inlineStr">
        <is>
          <t>не в рейтинге</t>
        </is>
      </c>
      <c r="K979" s="4" t="inlineStr">
        <is>
          <t>Reporter</t>
        </is>
      </c>
      <c r="L979" s="4" t="inlineStr">
        <is>
          <t>нет в опубл. списке (опубликован только топ-15 страны)</t>
        </is>
      </c>
      <c r="M979" s="4" t="inlineStr">
        <is>
          <t>RAEX-100 2026; МосМУР «Три миссии» 2025</t>
        </is>
      </c>
      <c r="N979" s="4" t="inlineStr">
        <is>
          <t>не в рейтинге</t>
        </is>
      </c>
      <c r="O979" s="4" t="inlineStr">
        <is>
          <t>https://www.timeshighereducation.com/world-university-rankings/2027/world-ranking
https://raex-rr.com/education/russian_universities/top-100_universities/2026/ ; https://mosiur.org/ranking/</t>
        </is>
      </c>
      <c r="P979" s="4" t="n"/>
    </row>
    <row r="980">
      <c r="A980" s="3" t="inlineStr">
        <is>
          <t>Russia|Stavropol State Agrarian University (StSAU)</t>
        </is>
      </c>
      <c r="B980" s="3" t="inlineStr">
        <is>
          <t>Russia</t>
        </is>
      </c>
      <c r="C980" s="3" t="inlineStr">
        <is>
          <t>Ставрополь</t>
        </is>
      </c>
      <c r="D980" s="3" t="inlineStr">
        <is>
          <t>Stavropol State Agrarian University (StSAU)</t>
        </is>
      </c>
      <c r="E980" s="3" t="inlineStr">
        <is>
          <t>Ставропольский государственный аграрный университет (СтГАУ)</t>
        </is>
      </c>
      <c r="F980" s="3" t="inlineStr">
        <is>
          <t>https://stgau.ru</t>
        </is>
      </c>
      <c r="G980" s="3" t="inlineStr"/>
      <c r="H980" s="3" t="inlineStr"/>
      <c r="I980" s="3" t="inlineStr">
        <is>
          <t>RAEX2026: 48</t>
        </is>
      </c>
      <c r="J980" s="4" t="inlineStr">
        <is>
          <t>не в рейтинге</t>
        </is>
      </c>
      <c r="K980" s="4" t="inlineStr">
        <is>
          <t>Reporter</t>
        </is>
      </c>
      <c r="L980" s="4" t="inlineStr">
        <is>
          <t>нет в опубл. списке (опубликован только топ-15 страны)</t>
        </is>
      </c>
      <c r="M980" s="4" t="inlineStr">
        <is>
          <t>RAEX-100 2026</t>
        </is>
      </c>
      <c r="N980" s="4" t="inlineStr">
        <is>
          <t>48</t>
        </is>
      </c>
      <c r="O980" s="4" t="inlineStr">
        <is>
          <t>https://www.timeshighereducation.com/world-university-rankings/2027/world-ranking
https://raex-rr.com/education/russian_universities/top-100_universities/2026/</t>
        </is>
      </c>
      <c r="P980" s="4" t="n"/>
    </row>
    <row r="981">
      <c r="A981" s="3" t="inlineStr">
        <is>
          <t>Russia|Stavropol State Pedagogical Institute (SSPI)</t>
        </is>
      </c>
      <c r="B981" s="3" t="inlineStr">
        <is>
          <t>Russia</t>
        </is>
      </c>
      <c r="C981" s="3" t="inlineStr">
        <is>
          <t>Ставрополь</t>
        </is>
      </c>
      <c r="D981" s="3" t="inlineStr">
        <is>
          <t>Stavropol State Pedagogical Institute (SSPI)</t>
        </is>
      </c>
      <c r="E981" s="3" t="inlineStr">
        <is>
          <t>Ставропольский государственный педагогический институт</t>
        </is>
      </c>
      <c r="F981" s="3" t="inlineStr">
        <is>
          <t>https://sspi.ru</t>
        </is>
      </c>
      <c r="G981" s="3" t="inlineStr"/>
      <c r="H981" s="3" t="inlineStr"/>
      <c r="I981" s="3" t="inlineStr"/>
      <c r="J981" s="4" t="inlineStr">
        <is>
          <t>не в рейтинге</t>
        </is>
      </c>
      <c r="K981" s="4" t="inlineStr">
        <is>
          <t>не в рейтинге</t>
        </is>
      </c>
      <c r="L981" s="4" t="inlineStr">
        <is>
          <t>нет в опубл. списке (опубликован только топ-15 страны)</t>
        </is>
      </c>
      <c r="M981" s="4" t="inlineStr">
        <is>
          <t>RAEX-100 2026; МосМУР «Три миссии» 2025</t>
        </is>
      </c>
      <c r="N981" s="4" t="inlineStr">
        <is>
          <t>не в рейтинге</t>
        </is>
      </c>
      <c r="O981" s="4" t="inlineStr">
        <is>
          <t>https://raex-rr.com/education/russian_universities/top-100_universities/2026/ ; https://mosiur.org/ranking/</t>
        </is>
      </c>
      <c r="P981" s="4" t="n"/>
    </row>
    <row r="982">
      <c r="A982" s="3" t="inlineStr">
        <is>
          <t>Russia|Surgut State University</t>
        </is>
      </c>
      <c r="B982" s="3" t="inlineStr">
        <is>
          <t>Russia</t>
        </is>
      </c>
      <c r="C982" s="3" t="inlineStr">
        <is>
          <t>Сургут</t>
        </is>
      </c>
      <c r="D982" s="3" t="inlineStr">
        <is>
          <t>Surgut State University</t>
        </is>
      </c>
      <c r="E982" s="3" t="inlineStr">
        <is>
          <t>Сургутский государственный университет</t>
        </is>
      </c>
      <c r="F982" s="3" t="inlineStr">
        <is>
          <t>https://surgu.ru</t>
        </is>
      </c>
      <c r="G982" s="3" t="inlineStr"/>
      <c r="H982" s="3" t="inlineStr"/>
      <c r="I982" s="3" t="inlineStr"/>
      <c r="J982" s="4" t="inlineStr">
        <is>
          <t>не в рейтинге</t>
        </is>
      </c>
      <c r="K982" s="4" t="inlineStr">
        <is>
          <t>не в рейтинге</t>
        </is>
      </c>
      <c r="L982" s="4" t="inlineStr">
        <is>
          <t>нет в опубл. списке (опубликован только топ-15 страны)</t>
        </is>
      </c>
      <c r="M982" s="4" t="inlineStr">
        <is>
          <t>RAEX-100 2026; МосМУР «Три миссии» 2025</t>
        </is>
      </c>
      <c r="N982" s="4" t="inlineStr">
        <is>
          <t>не в рейтинге</t>
        </is>
      </c>
      <c r="O982" s="4" t="inlineStr">
        <is>
          <t>https://raex-rr.com/education/russian_universities/top-100_universities/2026/ ; https://mosiur.org/ranking/</t>
        </is>
      </c>
      <c r="P982" s="4" t="n"/>
    </row>
    <row r="983">
      <c r="A983" s="3" t="inlineStr">
        <is>
          <t>Russia|T.F. Gorbachev Kuzbass State Technical University (KuzSTU / KuzGTU)</t>
        </is>
      </c>
      <c r="B983" s="3" t="inlineStr">
        <is>
          <t>Russia</t>
        </is>
      </c>
      <c r="C983" s="3" t="inlineStr">
        <is>
          <t>Кемерово</t>
        </is>
      </c>
      <c r="D983" s="3" t="inlineStr">
        <is>
          <t>T.F. Gorbachev Kuzbass State Technical University (KuzSTU / KuzGTU)</t>
        </is>
      </c>
      <c r="E983" s="3" t="inlineStr">
        <is>
          <t>Кузбасский государственный технический университет имени Т.Ф. Горбачёва</t>
        </is>
      </c>
      <c r="F983" s="3" t="inlineStr">
        <is>
          <t>https://kuzstu.ru</t>
        </is>
      </c>
      <c r="G983" s="3" t="inlineStr"/>
      <c r="H983" s="3" t="inlineStr"/>
      <c r="I983" s="3" t="inlineStr"/>
      <c r="J983" s="4" t="inlineStr">
        <is>
          <t>не в рейтинге</t>
        </is>
      </c>
      <c r="K983" s="4" t="inlineStr">
        <is>
          <t>не в рейтинге</t>
        </is>
      </c>
      <c r="L983" s="4" t="inlineStr">
        <is>
          <t>нет в опубл. списке (опубликован только топ-15 страны)</t>
        </is>
      </c>
      <c r="M983" s="4" t="inlineStr">
        <is>
          <t>RAEX-100 2026; МосМУР «Три миссии» 2025</t>
        </is>
      </c>
      <c r="N983" s="4" t="inlineStr">
        <is>
          <t>не в рейтинге</t>
        </is>
      </c>
      <c r="O983" s="4" t="inlineStr">
        <is>
          <t>https://raex-rr.com/education/russian_universities/top-100_universities/2026/ ; https://mosiur.org/ranking/</t>
        </is>
      </c>
      <c r="P983" s="4" t="n"/>
    </row>
    <row r="984">
      <c r="A984" s="3" t="inlineStr">
        <is>
          <t>Russia|The Bonch-Bruevich Saint Petersburg State University of Telecommunications (SPbSUT)</t>
        </is>
      </c>
      <c r="B984" s="3" t="inlineStr">
        <is>
          <t>Russia</t>
        </is>
      </c>
      <c r="C984" s="3" t="inlineStr">
        <is>
          <t>Санкт-Петербург</t>
        </is>
      </c>
      <c r="D984" s="3" t="inlineStr">
        <is>
          <t>The Bonch-Bruevich Saint Petersburg State University of Telecommunications (SPbSUT)</t>
        </is>
      </c>
      <c r="E984" s="3" t="inlineStr">
        <is>
          <t>Санкт-Петербургский государственный университет телекоммуникаций им. проф. М.А. Бонч-Бруевича (СПбГУТ)</t>
        </is>
      </c>
      <c r="F984" s="3" t="inlineStr">
        <is>
          <t>https://www.sut.ru</t>
        </is>
      </c>
      <c r="G984" s="3" t="inlineStr"/>
      <c r="H984" s="3" t="inlineStr"/>
      <c r="I984" s="3" t="inlineStr"/>
      <c r="J984" s="4" t="inlineStr">
        <is>
          <t>не в рейтинге</t>
        </is>
      </c>
      <c r="K984" s="4" t="inlineStr">
        <is>
          <t>не в рейтинге</t>
        </is>
      </c>
      <c r="L984" s="4" t="inlineStr">
        <is>
          <t>нет в опубл. списке (опубликован только топ-15 страны)</t>
        </is>
      </c>
      <c r="M984" s="4" t="inlineStr">
        <is>
          <t>МосМУР «Три миссии университета» 2025 (мировой, место в мире)</t>
        </is>
      </c>
      <c r="N984" s="4" t="inlineStr">
        <is>
          <t>1751–2000</t>
        </is>
      </c>
      <c r="O984" s="4" t="inlineStr">
        <is>
          <t>https://mosiur.org/ranking/</t>
        </is>
      </c>
      <c r="P984" s="4" t="inlineStr">
        <is>
          <t>в RAEX-100 2026 отсутствует</t>
        </is>
      </c>
    </row>
    <row r="985">
      <c r="A985" s="3" t="inlineStr">
        <is>
          <t>Russia|Togliatti State University (TSU)</t>
        </is>
      </c>
      <c r="B985" s="3" t="inlineStr">
        <is>
          <t>Russia</t>
        </is>
      </c>
      <c r="C985" s="3" t="inlineStr">
        <is>
          <t>Тольятти</t>
        </is>
      </c>
      <c r="D985" s="3" t="inlineStr">
        <is>
          <t>Togliatti State University (TSU)</t>
        </is>
      </c>
      <c r="E985" s="3" t="inlineStr">
        <is>
          <t>Тольяттинский государственный университет</t>
        </is>
      </c>
      <c r="F985" s="3" t="inlineStr">
        <is>
          <t>https://www.tltsu.ru</t>
        </is>
      </c>
      <c r="G985" s="3" t="inlineStr"/>
      <c r="H985" s="3" t="inlineStr"/>
      <c r="I985" s="3" t="inlineStr"/>
      <c r="J985" s="4" t="inlineStr">
        <is>
          <t>не в рейтинге</t>
        </is>
      </c>
      <c r="K985" s="4" t="inlineStr">
        <is>
          <t>не в рейтинге</t>
        </is>
      </c>
      <c r="L985" s="4" t="inlineStr">
        <is>
          <t>нет в опубл. списке (опубликован только топ-15 страны)</t>
        </is>
      </c>
      <c r="M985" s="4" t="inlineStr">
        <is>
          <t>RAEX-100 2026; МосМУР «Три миссии» 2025</t>
        </is>
      </c>
      <c r="N985" s="4" t="inlineStr">
        <is>
          <t>не в рейтинге</t>
        </is>
      </c>
      <c r="O985" s="4" t="inlineStr">
        <is>
          <t>https://raex-rr.com/education/russian_universities/top-100_universities/2026/ ; https://mosiur.org/ranking/</t>
        </is>
      </c>
      <c r="P985" s="4" t="n"/>
    </row>
    <row r="986">
      <c r="A986" s="3" t="inlineStr">
        <is>
          <t>Russia|Tomsk State Pedagogical University (TSPU)</t>
        </is>
      </c>
      <c r="B986" s="3" t="inlineStr">
        <is>
          <t>Russia</t>
        </is>
      </c>
      <c r="C986" s="3" t="inlineStr">
        <is>
          <t>Томск</t>
        </is>
      </c>
      <c r="D986" s="3" t="inlineStr">
        <is>
          <t>Tomsk State Pedagogical University (TSPU)</t>
        </is>
      </c>
      <c r="E986" s="3" t="inlineStr">
        <is>
          <t>Томский государственный педагогический университет (ТГПУ)</t>
        </is>
      </c>
      <c r="F986" s="3" t="inlineStr">
        <is>
          <t>https://www.tspu.ru</t>
        </is>
      </c>
      <c r="G986" s="3" t="inlineStr"/>
      <c r="H986" s="3" t="inlineStr">
        <is>
          <t>THE2027 Reporter (unranked)</t>
        </is>
      </c>
      <c r="I986" s="3" t="inlineStr"/>
      <c r="J986" s="4" t="inlineStr">
        <is>
          <t>не в рейтинге</t>
        </is>
      </c>
      <c r="K986" s="4" t="inlineStr">
        <is>
          <t>Reporter</t>
        </is>
      </c>
      <c r="L986" s="4" t="inlineStr">
        <is>
          <t>нет в опубл. списке (опубликован только топ-15 страны)</t>
        </is>
      </c>
      <c r="M986" s="4" t="inlineStr">
        <is>
          <t>RAEX-100 2026; МосМУР «Три миссии» 2025</t>
        </is>
      </c>
      <c r="N986" s="4" t="inlineStr">
        <is>
          <t>не в рейтинге</t>
        </is>
      </c>
      <c r="O986" s="4" t="inlineStr">
        <is>
          <t>https://www.timeshighereducation.com/world-university-rankings/2027/world-ranking
https://raex-rr.com/education/russian_universities/top-100_universities/2026/ ; https://mosiur.org/ranking/</t>
        </is>
      </c>
      <c r="P986" s="4" t="n"/>
    </row>
    <row r="987">
      <c r="A987" s="3" t="inlineStr">
        <is>
          <t>Russia|Tomsk State University of Architecture and Building (TSUAB)</t>
        </is>
      </c>
      <c r="B987" s="3" t="inlineStr">
        <is>
          <t>Russia</t>
        </is>
      </c>
      <c r="C987" s="3" t="inlineStr">
        <is>
          <t>Томск</t>
        </is>
      </c>
      <c r="D987" s="3" t="inlineStr">
        <is>
          <t>Tomsk State University of Architecture and Building (TSUAB)</t>
        </is>
      </c>
      <c r="E987" s="3" t="inlineStr">
        <is>
          <t>Томский государственный архитектурно-строительный университет (ТГАСУ)</t>
        </is>
      </c>
      <c r="F987" s="3" t="inlineStr">
        <is>
          <t>https://tsuab.ru</t>
        </is>
      </c>
      <c r="G987" s="3" t="inlineStr"/>
      <c r="H987" s="3" t="inlineStr"/>
      <c r="I987" s="3" t="inlineStr"/>
      <c r="J987" s="4" t="inlineStr">
        <is>
          <t>не в рейтинге</t>
        </is>
      </c>
      <c r="K987" s="4" t="inlineStr">
        <is>
          <t>не в рейтинге</t>
        </is>
      </c>
      <c r="L987" s="4" t="inlineStr">
        <is>
          <t>нет в опубл. списке (опубликован только топ-15 страны)</t>
        </is>
      </c>
      <c r="M987" s="4" t="inlineStr">
        <is>
          <t>МосМУР «Три миссии университета» 2025 (мировой, место в мире)</t>
        </is>
      </c>
      <c r="N987" s="4" t="inlineStr">
        <is>
          <t>1751–2000</t>
        </is>
      </c>
      <c r="O987" s="4" t="inlineStr">
        <is>
          <t>https://mosiur.org/ranking/</t>
        </is>
      </c>
      <c r="P987" s="4" t="inlineStr">
        <is>
          <t>в RAEX-100 2026 отсутствует</t>
        </is>
      </c>
    </row>
    <row r="988">
      <c r="A988" s="3" t="inlineStr">
        <is>
          <t>Russia|Tomsk State University of Control Systems and Radioelectronics (TUSUR)</t>
        </is>
      </c>
      <c r="B988" s="3" t="inlineStr">
        <is>
          <t>Russia</t>
        </is>
      </c>
      <c r="C988" s="3" t="inlineStr">
        <is>
          <t>Томск</t>
        </is>
      </c>
      <c r="D988" s="3" t="inlineStr">
        <is>
          <t>Tomsk State University of Control Systems and Radioelectronics (TUSUR)</t>
        </is>
      </c>
      <c r="E988" s="3" t="inlineStr">
        <is>
          <t>Томский государственный университет систем управления и радиоэлектроники (ТУСУР)</t>
        </is>
      </c>
      <c r="F988" s="3" t="inlineStr">
        <is>
          <t>https://tusur.ru</t>
        </is>
      </c>
      <c r="G988" s="3" t="inlineStr"/>
      <c r="H988" s="3" t="inlineStr">
        <is>
          <t>THE2027: 2001+</t>
        </is>
      </c>
      <c r="I988" s="3" t="inlineStr">
        <is>
          <t>RAEX2026: 63</t>
        </is>
      </c>
      <c r="J988" s="4" t="inlineStr">
        <is>
          <t>не в рейтинге</t>
        </is>
      </c>
      <c r="K988" s="4" t="inlineStr">
        <is>
          <t>2001+</t>
        </is>
      </c>
      <c r="L988" s="4" t="inlineStr">
        <is>
          <t>нет в опубл. списке (опубликован только топ-15 страны)</t>
        </is>
      </c>
      <c r="M988" s="4" t="inlineStr">
        <is>
          <t>RAEX-100 2026</t>
        </is>
      </c>
      <c r="N988" s="4" t="inlineStr">
        <is>
          <t>63</t>
        </is>
      </c>
      <c r="O988" s="4" t="inlineStr">
        <is>
          <t>https://www.timeshighereducation.com/world-university-rankings/2027/world-ranking
https://raex-rr.com/education/russian_universities/top-100_universities/2026/</t>
        </is>
      </c>
      <c r="P988" s="4" t="n"/>
    </row>
    <row r="989">
      <c r="A989" s="3" t="inlineStr">
        <is>
          <t>Russia|Transbaikal State University (ZabGU)</t>
        </is>
      </c>
      <c r="B989" s="3" t="inlineStr">
        <is>
          <t>Russia</t>
        </is>
      </c>
      <c r="C989" s="3" t="inlineStr">
        <is>
          <t>Чита</t>
        </is>
      </c>
      <c r="D989" s="3" t="inlineStr">
        <is>
          <t>Transbaikal State University (ZabGU)</t>
        </is>
      </c>
      <c r="E989" s="3" t="inlineStr">
        <is>
          <t>Забайкальский государственный университет (ЗабГУ)</t>
        </is>
      </c>
      <c r="F989" s="3" t="inlineStr">
        <is>
          <t>https://zabgu.ru</t>
        </is>
      </c>
      <c r="G989" s="3" t="inlineStr"/>
      <c r="H989" s="3" t="inlineStr"/>
      <c r="I989" s="3" t="inlineStr"/>
      <c r="J989" s="4" t="inlineStr">
        <is>
          <t>не в рейтинге</t>
        </is>
      </c>
      <c r="K989" s="4" t="inlineStr">
        <is>
          <t>не в рейтинге</t>
        </is>
      </c>
      <c r="L989" s="4" t="inlineStr">
        <is>
          <t>нет в опубл. списке (опубликован только топ-15 страны)</t>
        </is>
      </c>
      <c r="M989" s="4" t="inlineStr">
        <is>
          <t>RAEX-100 2026; МосМУР «Три миссии» 2025</t>
        </is>
      </c>
      <c r="N989" s="4" t="inlineStr">
        <is>
          <t>не в рейтинге</t>
        </is>
      </c>
      <c r="O989" s="4" t="inlineStr">
        <is>
          <t>https://raex-rr.com/education/russian_universities/top-100_universities/2026/ ; https://mosiur.org/ranking/</t>
        </is>
      </c>
      <c r="P989" s="4" t="n"/>
    </row>
    <row r="990">
      <c r="A990" s="3" t="inlineStr">
        <is>
          <t>Russia|Tsiolkovsky Kaluga State University (KSU)</t>
        </is>
      </c>
      <c r="B990" s="3" t="inlineStr">
        <is>
          <t>Russia</t>
        </is>
      </c>
      <c r="C990" s="3" t="inlineStr">
        <is>
          <t>Калуга</t>
        </is>
      </c>
      <c r="D990" s="3" t="inlineStr">
        <is>
          <t>Tsiolkovsky Kaluga State University (KSU)</t>
        </is>
      </c>
      <c r="E990" s="3" t="inlineStr">
        <is>
          <t>Калужский государственный университет им. К.Э. Циолковского (КГУ им. К.Э. Циолковского)</t>
        </is>
      </c>
      <c r="F990" s="3" t="inlineStr">
        <is>
          <t>https://tksu.ru</t>
        </is>
      </c>
      <c r="G990" s="3" t="inlineStr"/>
      <c r="H990" s="3" t="inlineStr"/>
      <c r="I990" s="3" t="inlineStr"/>
      <c r="J990" s="4" t="inlineStr">
        <is>
          <t>не в рейтинге</t>
        </is>
      </c>
      <c r="K990" s="4" t="inlineStr">
        <is>
          <t>не в рейтинге</t>
        </is>
      </c>
      <c r="L990" s="4" t="inlineStr">
        <is>
          <t>нет в опубл. списке (опубликован только топ-15 страны)</t>
        </is>
      </c>
      <c r="M990" s="4" t="inlineStr">
        <is>
          <t>RAEX-100 2026; МосМУР «Три миссии» 2025</t>
        </is>
      </c>
      <c r="N990" s="4" t="inlineStr">
        <is>
          <t>не в рейтинге</t>
        </is>
      </c>
      <c r="O990" s="4" t="inlineStr">
        <is>
          <t>https://raex-rr.com/education/russian_universities/top-100_universities/2026/ ; https://mosiur.org/ranking/</t>
        </is>
      </c>
      <c r="P990" s="4" t="n"/>
    </row>
    <row r="991">
      <c r="A991" s="3" t="inlineStr">
        <is>
          <t>Russia|Tula State University (TulSU)</t>
        </is>
      </c>
      <c r="B991" s="3" t="inlineStr">
        <is>
          <t>Russia</t>
        </is>
      </c>
      <c r="C991" s="3" t="inlineStr">
        <is>
          <t>Тула</t>
        </is>
      </c>
      <c r="D991" s="3" t="inlineStr">
        <is>
          <t>Tula State University (TulSU)</t>
        </is>
      </c>
      <c r="E991" s="3" t="inlineStr">
        <is>
          <t>Тульский государственный университет</t>
        </is>
      </c>
      <c r="F991" s="3" t="inlineStr">
        <is>
          <t>https://tulsu.ru</t>
        </is>
      </c>
      <c r="G991" s="3" t="inlineStr"/>
      <c r="H991" s="3" t="inlineStr"/>
      <c r="I991" s="3" t="inlineStr"/>
      <c r="J991" s="4" t="inlineStr">
        <is>
          <t>не в рейтинге</t>
        </is>
      </c>
      <c r="K991" s="4" t="inlineStr">
        <is>
          <t>не в рейтинге</t>
        </is>
      </c>
      <c r="L991" s="4" t="inlineStr">
        <is>
          <t>нет в опубл. списке (опубликован только топ-15 страны)</t>
        </is>
      </c>
      <c r="M991" s="4" t="inlineStr">
        <is>
          <t>RAEX-100 2026; МосМУР «Три миссии» 2025</t>
        </is>
      </c>
      <c r="N991" s="4" t="inlineStr">
        <is>
          <t>не в рейтинге</t>
        </is>
      </c>
      <c r="O991" s="4" t="inlineStr">
        <is>
          <t>https://raex-rr.com/education/russian_universities/top-100_universities/2026/ ; https://mosiur.org/ranking/</t>
        </is>
      </c>
      <c r="P991" s="4" t="n"/>
    </row>
    <row r="992">
      <c r="A992" s="3" t="inlineStr">
        <is>
          <t>Russia|Tver State Technical University (TvSTU)</t>
        </is>
      </c>
      <c r="B992" s="3" t="inlineStr">
        <is>
          <t>Russia</t>
        </is>
      </c>
      <c r="C992" s="3" t="inlineStr">
        <is>
          <t>Тверь</t>
        </is>
      </c>
      <c r="D992" s="3" t="inlineStr">
        <is>
          <t>Tver State Technical University (TvSTU)</t>
        </is>
      </c>
      <c r="E992" s="3" t="inlineStr">
        <is>
          <t>Тверской государственный технический университет</t>
        </is>
      </c>
      <c r="F992" s="3" t="inlineStr">
        <is>
          <t>https://tstu.tver.ru</t>
        </is>
      </c>
      <c r="G992" s="3" t="inlineStr"/>
      <c r="H992" s="3" t="inlineStr"/>
      <c r="I992" s="3" t="inlineStr"/>
      <c r="J992" s="4" t="inlineStr">
        <is>
          <t>не в рейтинге</t>
        </is>
      </c>
      <c r="K992" s="4" t="inlineStr">
        <is>
          <t>Reporter</t>
        </is>
      </c>
      <c r="L992" s="4" t="inlineStr">
        <is>
          <t>нет в опубл. списке (опубликован только топ-15 страны)</t>
        </is>
      </c>
      <c r="M992" s="4" t="inlineStr">
        <is>
          <t>RAEX-100 2026; МосМУР «Три миссии» 2025</t>
        </is>
      </c>
      <c r="N992" s="4" t="inlineStr">
        <is>
          <t>не в рейтинге</t>
        </is>
      </c>
      <c r="O992" s="4" t="inlineStr">
        <is>
          <t>https://www.timeshighereducation.com/world-university-rankings/2027/world-ranking
https://raex-rr.com/education/russian_universities/top-100_universities/2026/ ; https://mosiur.org/ranking/</t>
        </is>
      </c>
      <c r="P992" s="4" t="n"/>
    </row>
    <row r="993">
      <c r="A993" s="3" t="inlineStr">
        <is>
          <t>Russia|Tver State University</t>
        </is>
      </c>
      <c r="B993" s="3" t="inlineStr">
        <is>
          <t>Russia</t>
        </is>
      </c>
      <c r="C993" s="3" t="inlineStr">
        <is>
          <t>Тверь</t>
        </is>
      </c>
      <c r="D993" s="3" t="inlineStr">
        <is>
          <t>Tver State University</t>
        </is>
      </c>
      <c r="E993" s="3" t="inlineStr">
        <is>
          <t>Тверской государственный университет</t>
        </is>
      </c>
      <c r="F993" s="3" t="inlineStr">
        <is>
          <t>https://tversu.ru</t>
        </is>
      </c>
      <c r="G993" s="3" t="inlineStr"/>
      <c r="H993" s="3" t="inlineStr"/>
      <c r="I993" s="3" t="inlineStr"/>
      <c r="J993" s="4" t="inlineStr">
        <is>
          <t>не в рейтинге</t>
        </is>
      </c>
      <c r="K993" s="4" t="inlineStr">
        <is>
          <t>не в рейтинге</t>
        </is>
      </c>
      <c r="L993" s="4" t="inlineStr">
        <is>
          <t>нет в опубл. списке (опубликован только топ-15 страны)</t>
        </is>
      </c>
      <c r="M993" s="4" t="inlineStr">
        <is>
          <t>RAEX-100 2026; МосМУР «Три миссии» 2025</t>
        </is>
      </c>
      <c r="N993" s="4" t="inlineStr">
        <is>
          <t>не в рейтинге</t>
        </is>
      </c>
      <c r="O993" s="4" t="inlineStr">
        <is>
          <t>https://raex-rr.com/education/russian_universities/top-100_universities/2026/ ; https://mosiur.org/ranking/</t>
        </is>
      </c>
      <c r="P993" s="4" t="n"/>
    </row>
    <row r="994">
      <c r="A994" s="3" t="inlineStr">
        <is>
          <t>Russia|Udmurt State University</t>
        </is>
      </c>
      <c r="B994" s="3" t="inlineStr">
        <is>
          <t>Russia</t>
        </is>
      </c>
      <c r="C994" s="3" t="inlineStr">
        <is>
          <t>Ижевск</t>
        </is>
      </c>
      <c r="D994" s="3" t="inlineStr">
        <is>
          <t>Udmurt State University</t>
        </is>
      </c>
      <c r="E994" s="3" t="inlineStr">
        <is>
          <t>Удмуртский государственный университет</t>
        </is>
      </c>
      <c r="F994" s="3" t="inlineStr">
        <is>
          <t>https://udsu.ru</t>
        </is>
      </c>
      <c r="G994" s="3" t="inlineStr"/>
      <c r="H994" s="3" t="inlineStr"/>
      <c r="I994" s="3" t="inlineStr"/>
      <c r="J994" s="4" t="inlineStr">
        <is>
          <t>не в рейтинге</t>
        </is>
      </c>
      <c r="K994" s="4" t="inlineStr">
        <is>
          <t>не в рейтинге</t>
        </is>
      </c>
      <c r="L994" s="4" t="inlineStr">
        <is>
          <t>нет в опубл. списке (опубликован только топ-15 страны)</t>
        </is>
      </c>
      <c r="M994" s="4" t="inlineStr">
        <is>
          <t>RAEX-100 2026; МосМУР «Три миссии» 2025</t>
        </is>
      </c>
      <c r="N994" s="4" t="inlineStr">
        <is>
          <t>не в рейтинге</t>
        </is>
      </c>
      <c r="O994" s="4" t="inlineStr">
        <is>
          <t>https://raex-rr.com/education/russian_universities/top-100_universities/2026/ ; https://mosiur.org/ranking/</t>
        </is>
      </c>
      <c r="P994" s="4" t="n"/>
    </row>
    <row r="995">
      <c r="A995" s="3" t="inlineStr">
        <is>
          <t>Russia|Ufa University of Science and Technology</t>
        </is>
      </c>
      <c r="B995" s="3" t="inlineStr">
        <is>
          <t>Russia</t>
        </is>
      </c>
      <c r="C995" s="3" t="inlineStr">
        <is>
          <t>Уфа</t>
        </is>
      </c>
      <c r="D995" s="3" t="inlineStr">
        <is>
          <t>Ufa University of Science and Technology</t>
        </is>
      </c>
      <c r="E995" s="3" t="inlineStr">
        <is>
          <t>Уфимский университет науки и технологий</t>
        </is>
      </c>
      <c r="F995" s="3" t="inlineStr">
        <is>
          <t>https://uust.ru</t>
        </is>
      </c>
      <c r="G995" s="3" t="inlineStr"/>
      <c r="H995" s="3" t="inlineStr">
        <is>
          <t>THE2027: 2001+</t>
        </is>
      </c>
      <c r="I995" s="3" t="inlineStr">
        <is>
          <t>RAEX2026: 100</t>
        </is>
      </c>
      <c r="J995" s="4" t="inlineStr">
        <is>
          <t>не в рейтинге</t>
        </is>
      </c>
      <c r="K995" s="4" t="inlineStr">
        <is>
          <t>2001+</t>
        </is>
      </c>
      <c r="L995" s="4" t="inlineStr">
        <is>
          <t>нет в опубл. списке (опубликован только топ-15 страны)</t>
        </is>
      </c>
      <c r="M995" s="4" t="inlineStr">
        <is>
          <t>RAEX-100 2026</t>
        </is>
      </c>
      <c r="N995" s="4" t="inlineStr">
        <is>
          <t>100</t>
        </is>
      </c>
      <c r="O995" s="4" t="inlineStr">
        <is>
          <t>https://www.timeshighereducation.com/world-university-rankings/2027/world-ranking
https://raex-rr.com/education/russian_universities/top-100_universities/2026/</t>
        </is>
      </c>
      <c r="P995" s="4" t="n"/>
    </row>
    <row r="996">
      <c r="A996" s="3" t="inlineStr">
        <is>
          <t>Russia|Ulyanovsk State Technical University (UlSTU)</t>
        </is>
      </c>
      <c r="B996" s="3" t="inlineStr">
        <is>
          <t>Russia</t>
        </is>
      </c>
      <c r="C996" s="3" t="inlineStr">
        <is>
          <t>Ульяновск</t>
        </is>
      </c>
      <c r="D996" s="3" t="inlineStr">
        <is>
          <t>Ulyanovsk State Technical University (UlSTU)</t>
        </is>
      </c>
      <c r="E996" s="3" t="inlineStr">
        <is>
          <t>Ульяновский государственный технический университет (УлГТУ)</t>
        </is>
      </c>
      <c r="F996" s="3" t="inlineStr">
        <is>
          <t>https://ulstu.ru</t>
        </is>
      </c>
      <c r="G996" s="3" t="inlineStr"/>
      <c r="H996" s="3" t="inlineStr"/>
      <c r="I996" s="3" t="inlineStr"/>
      <c r="J996" s="4" t="inlineStr">
        <is>
          <t>не в рейтинге</t>
        </is>
      </c>
      <c r="K996" s="4" t="inlineStr">
        <is>
          <t>не в рейтинге</t>
        </is>
      </c>
      <c r="L996" s="4" t="inlineStr">
        <is>
          <t>нет в опубл. списке (опубликован только топ-15 страны)</t>
        </is>
      </c>
      <c r="M996" s="4" t="inlineStr">
        <is>
          <t>RAEX-100 2026; МосМУР «Три миссии» 2025</t>
        </is>
      </c>
      <c r="N996" s="4" t="inlineStr">
        <is>
          <t>не в рейтинге</t>
        </is>
      </c>
      <c r="O996" s="4" t="inlineStr">
        <is>
          <t>https://raex-rr.com/education/russian_universities/top-100_universities/2026/ ; https://mosiur.org/ranking/</t>
        </is>
      </c>
      <c r="P996" s="4" t="n"/>
    </row>
    <row r="997">
      <c r="A997" s="3" t="inlineStr">
        <is>
          <t>Russia|Ulyanovsk State University</t>
        </is>
      </c>
      <c r="B997" s="3" t="inlineStr">
        <is>
          <t>Russia</t>
        </is>
      </c>
      <c r="C997" s="3" t="inlineStr">
        <is>
          <t>Ульяновск</t>
        </is>
      </c>
      <c r="D997" s="3" t="inlineStr">
        <is>
          <t>Ulyanovsk State University</t>
        </is>
      </c>
      <c r="E997" s="3" t="inlineStr">
        <is>
          <t>Ульяновский государственный университет</t>
        </is>
      </c>
      <c r="F997" s="3" t="inlineStr">
        <is>
          <t>https://www.ulsu.ru</t>
        </is>
      </c>
      <c r="G997" s="3" t="inlineStr"/>
      <c r="H997" s="3" t="inlineStr"/>
      <c r="I997" s="3" t="inlineStr"/>
      <c r="J997" s="4" t="inlineStr">
        <is>
          <t>не в рейтинге</t>
        </is>
      </c>
      <c r="K997" s="4" t="inlineStr">
        <is>
          <t>Reporter</t>
        </is>
      </c>
      <c r="L997" s="4" t="inlineStr">
        <is>
          <t>нет в опубл. списке (опубликован только топ-15 страны)</t>
        </is>
      </c>
      <c r="M997" s="4" t="inlineStr">
        <is>
          <t>МосМУР «Три миссии университета» 2025 (мировой, место в мире)</t>
        </is>
      </c>
      <c r="N997" s="4" t="inlineStr">
        <is>
          <t>1751–2000</t>
        </is>
      </c>
      <c r="O997" s="4" t="inlineStr">
        <is>
          <t>https://www.timeshighereducation.com/world-university-rankings/2027/world-ranking
https://mosiur.org/ranking/</t>
        </is>
      </c>
      <c r="P997" s="4" t="inlineStr">
        <is>
          <t>в RAEX-100 2026 отсутствует</t>
        </is>
      </c>
    </row>
    <row r="998">
      <c r="A998" s="3" t="inlineStr">
        <is>
          <t>Russia|University of Tyumen (UTMN)</t>
        </is>
      </c>
      <c r="B998" s="3" t="inlineStr">
        <is>
          <t>Russia</t>
        </is>
      </c>
      <c r="C998" s="3" t="inlineStr">
        <is>
          <t>Тюмень</t>
        </is>
      </c>
      <c r="D998" s="3" t="inlineStr">
        <is>
          <t>University of Tyumen (UTMN)</t>
        </is>
      </c>
      <c r="E998" s="3" t="inlineStr">
        <is>
          <t>Тюменский государственный университет (ТюмГУ)</t>
        </is>
      </c>
      <c r="F998" s="3" t="inlineStr">
        <is>
          <t>https://www.utmn.ru</t>
        </is>
      </c>
      <c r="G998" s="3" t="inlineStr">
        <is>
          <t>QS2027: 1401+</t>
        </is>
      </c>
      <c r="H998" s="3" t="inlineStr"/>
      <c r="I998" s="3" t="inlineStr">
        <is>
          <t>RAEX2026: 53</t>
        </is>
      </c>
      <c r="J998" s="4" t="inlineStr">
        <is>
          <t>1401+</t>
        </is>
      </c>
      <c r="K998" s="4" t="inlineStr">
        <is>
          <t>не в рейтинге</t>
        </is>
      </c>
      <c r="L998" s="4" t="inlineStr">
        <is>
          <t>нет в опубл. списке (опубликован только топ-15 страны)</t>
        </is>
      </c>
      <c r="M998" s="4" t="inlineStr">
        <is>
          <t>RAEX-100 2026</t>
        </is>
      </c>
      <c r="N998" s="4" t="inlineStr">
        <is>
          <t>53</t>
        </is>
      </c>
      <c r="O998" s="4" t="inlineStr">
        <is>
          <t>https://www.topuniversities.com/world-university-rankings (QS WUR 2027)
https://raex-rr.com/education/russian_universities/top-100_universities/2026/</t>
        </is>
      </c>
      <c r="P998" s="4" t="n"/>
    </row>
    <row r="999">
      <c r="A999" s="3" t="inlineStr">
        <is>
          <t>Russia|Ural Federal University</t>
        </is>
      </c>
      <c r="B999" s="3" t="inlineStr">
        <is>
          <t>Russia</t>
        </is>
      </c>
      <c r="C999" s="3" t="inlineStr">
        <is>
          <t>Екатеринбург</t>
        </is>
      </c>
      <c r="D999" s="3" t="inlineStr">
        <is>
          <t>Ural Federal University</t>
        </is>
      </c>
      <c r="E999" s="3" t="inlineStr">
        <is>
          <t>Уральский федеральный университет имени первого Президента России Б.Н. Ельцина</t>
        </is>
      </c>
      <c r="F999" s="3" t="inlineStr">
        <is>
          <t>https://urfu.ru</t>
        </is>
      </c>
      <c r="G999" s="3" t="inlineStr">
        <is>
          <t>QS2027: 504</t>
        </is>
      </c>
      <c r="H999" s="3" t="inlineStr">
        <is>
          <t>THE2027: 801–1000</t>
        </is>
      </c>
      <c r="I999" s="3" t="inlineStr">
        <is>
          <t>RAEX2026: 12</t>
        </is>
      </c>
      <c r="J999" s="4">
        <f>504</f>
        <v/>
      </c>
      <c r="K999" s="4" t="inlineStr">
        <is>
          <t>801–1000</t>
        </is>
      </c>
      <c r="L999" s="4" t="inlineStr">
        <is>
          <t>707</t>
        </is>
      </c>
      <c r="M999" s="4" t="inlineStr">
        <is>
          <t>RAEX-100 2026</t>
        </is>
      </c>
      <c r="N999" s="4" t="inlineStr">
        <is>
          <t>12</t>
        </is>
      </c>
      <c r="O99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P999" s="4" t="inlineStr">
        <is>
          <t>QS: в таблице как «Ural Federal University - UrFU»</t>
        </is>
      </c>
    </row>
    <row r="1000">
      <c r="A1000" s="3" t="inlineStr">
        <is>
          <t>Russia|Ural State Agrarian University (UrSAU)</t>
        </is>
      </c>
      <c r="B1000" s="3" t="inlineStr">
        <is>
          <t>Russia</t>
        </is>
      </c>
      <c r="C1000" s="3" t="inlineStr">
        <is>
          <t>Екатеринбург</t>
        </is>
      </c>
      <c r="D1000" s="3" t="inlineStr">
        <is>
          <t>Ural State Agrarian University (UrSAU)</t>
        </is>
      </c>
      <c r="E1000" s="3" t="inlineStr">
        <is>
          <t>Уральский государственный аграрный университет</t>
        </is>
      </c>
      <c r="F1000" s="3" t="inlineStr">
        <is>
          <t>https://urgau.ru</t>
        </is>
      </c>
      <c r="G1000" s="3" t="inlineStr"/>
      <c r="H1000" s="3" t="inlineStr"/>
      <c r="I1000" s="3" t="inlineStr"/>
      <c r="J1000" s="4" t="inlineStr">
        <is>
          <t>не в рейтинге</t>
        </is>
      </c>
      <c r="K1000" s="4" t="inlineStr">
        <is>
          <t>не в рейтинге</t>
        </is>
      </c>
      <c r="L1000" s="4" t="inlineStr">
        <is>
          <t>нет в опубл. списке (опубликован только топ-15 страны)</t>
        </is>
      </c>
      <c r="M1000" s="4" t="inlineStr">
        <is>
          <t>RAEX-100 2026; МосМУР «Три миссии» 2025</t>
        </is>
      </c>
      <c r="N1000" s="4" t="inlineStr">
        <is>
          <t>не в рейтинге</t>
        </is>
      </c>
      <c r="O1000" s="4" t="inlineStr">
        <is>
          <t>https://raex-rr.com/education/russian_universities/top-100_universities/2026/ ; https://mosiur.org/ranking/</t>
        </is>
      </c>
      <c r="P1000" s="4" t="n"/>
    </row>
    <row r="1001">
      <c r="A1001" s="3" t="inlineStr">
        <is>
          <t>Russia|Ural State Mining University</t>
        </is>
      </c>
      <c r="B1001" s="3" t="inlineStr">
        <is>
          <t>Russia</t>
        </is>
      </c>
      <c r="C1001" s="3" t="inlineStr">
        <is>
          <t>Екатеринбург</t>
        </is>
      </c>
      <c r="D1001" s="3" t="inlineStr">
        <is>
          <t>Ural State Mining University</t>
        </is>
      </c>
      <c r="E1001" s="3" t="inlineStr">
        <is>
          <t>Уральский государственный горный университет</t>
        </is>
      </c>
      <c r="F1001" s="3" t="inlineStr">
        <is>
          <t>https://www.ursmu.ru</t>
        </is>
      </c>
      <c r="G1001" s="3" t="inlineStr"/>
      <c r="H1001" s="3" t="inlineStr"/>
      <c r="I1001" s="3" t="inlineStr"/>
      <c r="J1001" s="4" t="inlineStr">
        <is>
          <t>не в рейтинге</t>
        </is>
      </c>
      <c r="K1001" s="4" t="inlineStr">
        <is>
          <t>не в рейтинге</t>
        </is>
      </c>
      <c r="L1001" s="4" t="inlineStr">
        <is>
          <t>нет в опубл. списке (опубликован только топ-15 страны)</t>
        </is>
      </c>
      <c r="M1001" s="4" t="inlineStr">
        <is>
          <t>RAEX-100 2026; МосМУР «Три миссии» 2025</t>
        </is>
      </c>
      <c r="N1001" s="4" t="inlineStr">
        <is>
          <t>не в рейтинге</t>
        </is>
      </c>
      <c r="O1001" s="4" t="inlineStr">
        <is>
          <t>https://raex-rr.com/education/russian_universities/top-100_universities/2026/ ; https://mosiur.org/ranking/</t>
        </is>
      </c>
      <c r="P1001" s="4" t="n"/>
    </row>
    <row r="1002">
      <c r="A1002" s="3" t="inlineStr">
        <is>
          <t>Russia|Ural State University of Economics (USUE)</t>
        </is>
      </c>
      <c r="B1002" s="3" t="inlineStr">
        <is>
          <t>Russia</t>
        </is>
      </c>
      <c r="C1002" s="3" t="inlineStr">
        <is>
          <t>Екатеринбург</t>
        </is>
      </c>
      <c r="D1002" s="3" t="inlineStr">
        <is>
          <t>Ural State University of Economics (USUE)</t>
        </is>
      </c>
      <c r="E1002" s="3" t="inlineStr">
        <is>
          <t>Уральский государственный экономический университет (УрГЭУ)</t>
        </is>
      </c>
      <c r="F1002" s="3" t="inlineStr">
        <is>
          <t>https://www.usue.ru</t>
        </is>
      </c>
      <c r="G1002" s="3" t="inlineStr"/>
      <c r="H1002" s="3" t="inlineStr">
        <is>
          <t>THE2027 Reporter (unranked)</t>
        </is>
      </c>
      <c r="I1002" s="3" t="inlineStr"/>
      <c r="J1002" s="4" t="inlineStr">
        <is>
          <t>не в рейтинге</t>
        </is>
      </c>
      <c r="K1002" s="4" t="inlineStr">
        <is>
          <t>Reporter</t>
        </is>
      </c>
      <c r="L1002" s="4" t="inlineStr">
        <is>
          <t>нет в опубл. списке (опубликован только топ-15 страны)</t>
        </is>
      </c>
      <c r="M1002" s="4" t="inlineStr">
        <is>
          <t>МосМУР «Три миссии университета» 2025 (мировой, место в мире)</t>
        </is>
      </c>
      <c r="N1002" s="4" t="inlineStr">
        <is>
          <t>1501–1750</t>
        </is>
      </c>
      <c r="O1002" s="4" t="inlineStr">
        <is>
          <t>https://www.timeshighereducation.com/world-university-rankings/2027/world-ranking
https://mosiur.org/ranking/</t>
        </is>
      </c>
      <c r="P1002" s="4" t="inlineStr">
        <is>
          <t>в RAEX-100 2026 отсутствует</t>
        </is>
      </c>
    </row>
    <row r="1003">
      <c r="A1003" s="3" t="inlineStr">
        <is>
          <t>Russia|Vladimir State University named after Alexander and Nikolay Stoletovs (VlSU)</t>
        </is>
      </c>
      <c r="B1003" s="3" t="inlineStr">
        <is>
          <t>Russia</t>
        </is>
      </c>
      <c r="C1003" s="3" t="inlineStr">
        <is>
          <t>Владимир</t>
        </is>
      </c>
      <c r="D1003" s="3" t="inlineStr">
        <is>
          <t>Vladimir State University named after Alexander and Nikolay Stoletovs (VlSU)</t>
        </is>
      </c>
      <c r="E1003" s="3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 (ВлГУ)</t>
        </is>
      </c>
      <c r="F1003" s="3" t="inlineStr">
        <is>
          <t>https://www.vlsu.ru</t>
        </is>
      </c>
      <c r="G1003" s="3" t="inlineStr"/>
      <c r="H1003" s="3" t="inlineStr"/>
      <c r="I1003" s="3" t="inlineStr"/>
      <c r="J1003" s="4" t="inlineStr">
        <is>
          <t>не в рейтинге</t>
        </is>
      </c>
      <c r="K1003" s="4" t="inlineStr">
        <is>
          <t>не в рейтинге</t>
        </is>
      </c>
      <c r="L1003" s="4" t="inlineStr">
        <is>
          <t>нет в опубл. списке (опубликован только топ-15 страны)</t>
        </is>
      </c>
      <c r="M1003" s="4" t="inlineStr">
        <is>
          <t>RAEX-100 2026; МосМУР «Три миссии» 2025</t>
        </is>
      </c>
      <c r="N1003" s="4" t="inlineStr">
        <is>
          <t>не в рейтинге</t>
        </is>
      </c>
      <c r="O1003" s="4" t="inlineStr">
        <is>
          <t>https://raex-rr.com/education/russian_universities/top-100_universities/2026/ ; https://mosiur.org/ranking/</t>
        </is>
      </c>
      <c r="P1003" s="4" t="n"/>
    </row>
    <row r="1004">
      <c r="A1004" s="3" t="inlineStr">
        <is>
          <t>Russia|Vladivostok State University (VVSU)</t>
        </is>
      </c>
      <c r="B1004" s="3" t="inlineStr">
        <is>
          <t>Russia</t>
        </is>
      </c>
      <c r="C1004" s="3" t="inlineStr">
        <is>
          <t>Владивосток</t>
        </is>
      </c>
      <c r="D1004" s="3" t="inlineStr">
        <is>
          <t>Vladivostok State University (VVSU)</t>
        </is>
      </c>
      <c r="E1004" s="3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университет» (ВВГУ)</t>
        </is>
      </c>
      <c r="F1004" s="3" t="inlineStr">
        <is>
          <t>https://www.vvsu.ru</t>
        </is>
      </c>
      <c r="G1004" s="3" t="inlineStr"/>
      <c r="H1004" s="3" t="inlineStr"/>
      <c r="I1004" s="3" t="inlineStr"/>
      <c r="J1004" s="4" t="inlineStr">
        <is>
          <t>не в рейтинге</t>
        </is>
      </c>
      <c r="K1004" s="4" t="inlineStr">
        <is>
          <t>не в рейтинге</t>
        </is>
      </c>
      <c r="L1004" s="4" t="inlineStr">
        <is>
          <t>нет в опубл. списке (опубликован только топ-15 страны)</t>
        </is>
      </c>
      <c r="M1004" s="4" t="inlineStr">
        <is>
          <t>RAEX-100 2026; МосМУР «Три миссии» 2025</t>
        </is>
      </c>
      <c r="N1004" s="4" t="inlineStr">
        <is>
          <t>не в рейтинге</t>
        </is>
      </c>
      <c r="O1004" s="4" t="inlineStr">
        <is>
          <t>https://raex-rr.com/education/russian_universities/top-100_universities/2026/ ; https://mosiur.org/ranking/</t>
        </is>
      </c>
      <c r="P1004" s="4" t="n"/>
    </row>
    <row r="1005">
      <c r="A1005" s="3" t="inlineStr">
        <is>
          <t>Russia|Volgograd State Agricultural University (Volgograd SAU)</t>
        </is>
      </c>
      <c r="B1005" s="3" t="inlineStr">
        <is>
          <t>Russia</t>
        </is>
      </c>
      <c r="C1005" s="3" t="inlineStr">
        <is>
          <t>Волгоград</t>
        </is>
      </c>
      <c r="D1005" s="3" t="inlineStr">
        <is>
          <t>Volgograd State Agricultural University (Volgograd SAU)</t>
        </is>
      </c>
      <c r="E1005" s="3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 (ВолГАУ)</t>
        </is>
      </c>
      <c r="F1005" s="3" t="inlineStr">
        <is>
          <t>https://www.volgau.com</t>
        </is>
      </c>
      <c r="G1005" s="3" t="inlineStr"/>
      <c r="H1005" s="3" t="inlineStr"/>
      <c r="I1005" s="3" t="inlineStr"/>
      <c r="J1005" s="4" t="inlineStr">
        <is>
          <t>не в рейтинге</t>
        </is>
      </c>
      <c r="K1005" s="4" t="inlineStr">
        <is>
          <t>не в рейтинге</t>
        </is>
      </c>
      <c r="L1005" s="4" t="inlineStr">
        <is>
          <t>нет в опубл. списке (опубликован только топ-15 страны)</t>
        </is>
      </c>
      <c r="M1005" s="4" t="inlineStr">
        <is>
          <t>RAEX-100 2026; МосМУР «Три миссии» 2025</t>
        </is>
      </c>
      <c r="N1005" s="4" t="inlineStr">
        <is>
          <t>не в рейтинге</t>
        </is>
      </c>
      <c r="O1005" s="4" t="inlineStr">
        <is>
          <t>https://raex-rr.com/education/russian_universities/top-100_universities/2026/ ; https://mosiur.org/ranking/</t>
        </is>
      </c>
      <c r="P1005" s="4" t="n"/>
    </row>
    <row r="1006">
      <c r="A1006" s="3" t="inlineStr">
        <is>
          <t>Russia|Volgograd State Technical University (VSTU)</t>
        </is>
      </c>
      <c r="B1006" s="3" t="inlineStr">
        <is>
          <t>Russia</t>
        </is>
      </c>
      <c r="C1006" s="3" t="inlineStr">
        <is>
          <t>Волгоград</t>
        </is>
      </c>
      <c r="D1006" s="3" t="inlineStr">
        <is>
          <t>Volgograd State Technical University (VSTU)</t>
        </is>
      </c>
      <c r="E1006" s="3" t="inlineStr">
        <is>
          <t>Волгоградский государственный технический университет (ВолгГТУ)</t>
        </is>
      </c>
      <c r="F1006" s="3" t="inlineStr">
        <is>
          <t>https://www.vstu.ru</t>
        </is>
      </c>
      <c r="G1006" s="3" t="inlineStr"/>
      <c r="H1006" s="3" t="inlineStr">
        <is>
          <t>THE2027: 2001+</t>
        </is>
      </c>
      <c r="I1006" s="3" t="inlineStr">
        <is>
          <t>RAEX2026: 94</t>
        </is>
      </c>
      <c r="J1006" s="4" t="inlineStr">
        <is>
          <t>не в рейтинге</t>
        </is>
      </c>
      <c r="K1006" s="4" t="inlineStr">
        <is>
          <t>2001+</t>
        </is>
      </c>
      <c r="L1006" s="4" t="inlineStr">
        <is>
          <t>нет в опубл. списке (опубликован только топ-15 страны)</t>
        </is>
      </c>
      <c r="M1006" s="4" t="inlineStr">
        <is>
          <t>RAEX-100 2026</t>
        </is>
      </c>
      <c r="N1006" s="4" t="inlineStr">
        <is>
          <t>94</t>
        </is>
      </c>
      <c r="O1006" s="4" t="inlineStr">
        <is>
          <t>https://www.timeshighereducation.com/world-university-rankings/2027/world-ranking
https://raex-rr.com/education/russian_universities/top-100_universities/2026/</t>
        </is>
      </c>
      <c r="P1006" s="4" t="n"/>
    </row>
    <row r="1007">
      <c r="A1007" s="3" t="inlineStr">
        <is>
          <t>Russia|Volgograd State University (VolSU)</t>
        </is>
      </c>
      <c r="B1007" s="3" t="inlineStr">
        <is>
          <t>Russia</t>
        </is>
      </c>
      <c r="C1007" s="3" t="inlineStr">
        <is>
          <t>Волгоград</t>
        </is>
      </c>
      <c r="D1007" s="3" t="inlineStr">
        <is>
          <t>Volgograd State University (VolSU)</t>
        </is>
      </c>
      <c r="E1007" s="3" t="inlineStr">
        <is>
          <t>Волгоградский государственный университет</t>
        </is>
      </c>
      <c r="F1007" s="3" t="inlineStr">
        <is>
          <t>https://volsu.ru</t>
        </is>
      </c>
      <c r="G1007" s="3" t="inlineStr"/>
      <c r="H1007" s="3" t="inlineStr">
        <is>
          <t>THE2027: 2001+</t>
        </is>
      </c>
      <c r="I1007" s="3" t="inlineStr"/>
      <c r="J1007" s="4" t="inlineStr">
        <is>
          <t>не в рейтинге</t>
        </is>
      </c>
      <c r="K1007" s="4" t="inlineStr">
        <is>
          <t>2001+</t>
        </is>
      </c>
      <c r="L1007" s="4" t="inlineStr">
        <is>
          <t>нет в опубл. списке (опубликован только топ-15 страны)</t>
        </is>
      </c>
      <c r="M1007" s="4" t="inlineStr">
        <is>
          <t>МосМУР «Три миссии университета» 2025 (мировой, место в мире)</t>
        </is>
      </c>
      <c r="N1007" s="4" t="inlineStr">
        <is>
          <t>1751–2000</t>
        </is>
      </c>
      <c r="O1007" s="4" t="inlineStr">
        <is>
          <t>https://www.timeshighereducation.com/world-university-rankings/2027/world-ranking
https://mosiur.org/ranking/</t>
        </is>
      </c>
      <c r="P1007" s="4" t="inlineStr">
        <is>
          <t>в RAEX-100 2026 отсутствует</t>
        </is>
      </c>
    </row>
    <row r="1008">
      <c r="A1008" s="3" t="inlineStr">
        <is>
          <t>Russia|Voronezh State Technical University (VSTU)</t>
        </is>
      </c>
      <c r="B1008" s="3" t="inlineStr">
        <is>
          <t>Russia</t>
        </is>
      </c>
      <c r="C1008" s="3" t="inlineStr">
        <is>
          <t>Воронеж</t>
        </is>
      </c>
      <c r="D1008" s="3" t="inlineStr">
        <is>
          <t>Voronezh State Technical University (VSTU)</t>
        </is>
      </c>
      <c r="E1008" s="3" t="inlineStr">
        <is>
          <t>Воронежский государственный технический университет (ВГТУ)</t>
        </is>
      </c>
      <c r="F1008" s="3" t="inlineStr">
        <is>
          <t>https://cchgeu.ru</t>
        </is>
      </c>
      <c r="G1008" s="3" t="inlineStr"/>
      <c r="H1008" s="3" t="inlineStr"/>
      <c r="I1008" s="3" t="inlineStr"/>
      <c r="J1008" s="4" t="inlineStr">
        <is>
          <t>не в рейтинге</t>
        </is>
      </c>
      <c r="K1008" s="4" t="inlineStr">
        <is>
          <t>Reporter</t>
        </is>
      </c>
      <c r="L1008" s="4" t="inlineStr">
        <is>
          <t>нет в опубл. списке (опубликован только топ-15 страны)</t>
        </is>
      </c>
      <c r="M1008" s="4" t="inlineStr">
        <is>
          <t>МосМУР «Три миссии университета» 2025 (мировой, место в мире)</t>
        </is>
      </c>
      <c r="N1008" s="4" t="inlineStr">
        <is>
          <t>1751–2000</t>
        </is>
      </c>
      <c r="O1008" s="4" t="inlineStr">
        <is>
          <t>https://www.timeshighereducation.com/world-university-rankings/2027/world-ranking
https://mosiur.org/ranking/</t>
        </is>
      </c>
      <c r="P1008" s="4" t="inlineStr">
        <is>
          <t>в RAEX-100 2026 отсутствует</t>
        </is>
      </c>
    </row>
    <row r="1009">
      <c r="A1009" s="3" t="inlineStr">
        <is>
          <t>Russia|Voronezh State University (VSU)</t>
        </is>
      </c>
      <c r="B1009" s="3" t="inlineStr">
        <is>
          <t>Russia</t>
        </is>
      </c>
      <c r="C1009" s="3" t="inlineStr">
        <is>
          <t>Воронеж</t>
        </is>
      </c>
      <c r="D1009" s="3" t="inlineStr">
        <is>
          <t>Voronezh State University (VSU)</t>
        </is>
      </c>
      <c r="E1009" s="3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университет» (ВГУ)</t>
        </is>
      </c>
      <c r="F1009" s="3" t="inlineStr">
        <is>
          <t>https://www.vsu.ru</t>
        </is>
      </c>
      <c r="G1009" s="3" t="inlineStr"/>
      <c r="H1009" s="3" t="inlineStr"/>
      <c r="I1009" s="3" t="inlineStr"/>
      <c r="J1009" s="4" t="inlineStr">
        <is>
          <t>не в рейтинге</t>
        </is>
      </c>
      <c r="K1009" s="4" t="inlineStr">
        <is>
          <t>не в рейтинге</t>
        </is>
      </c>
      <c r="L1009" s="4" t="inlineStr">
        <is>
          <t>нет в опубл. списке (опубликован только топ-15 страны)</t>
        </is>
      </c>
      <c r="M1009" s="4" t="inlineStr">
        <is>
          <t>МосМУР «Три миссии университета» 2025 (мировой, место в мире)</t>
        </is>
      </c>
      <c r="N1009" s="4" t="inlineStr">
        <is>
          <t>1501–1750</t>
        </is>
      </c>
      <c r="O1009" s="4" t="inlineStr">
        <is>
          <t>https://mosiur.org/ranking/</t>
        </is>
      </c>
      <c r="P1009" s="4" t="inlineStr">
        <is>
          <t>в RAEX-100 2026 отсутствует</t>
        </is>
      </c>
    </row>
    <row r="1010">
      <c r="A1010" s="3" t="inlineStr">
        <is>
          <t>Russia|Vyatka State University (VyatSU)</t>
        </is>
      </c>
      <c r="B1010" s="3" t="inlineStr">
        <is>
          <t>Russia</t>
        </is>
      </c>
      <c r="C1010" s="3" t="inlineStr">
        <is>
          <t>Киров</t>
        </is>
      </c>
      <c r="D1010" s="3" t="inlineStr">
        <is>
          <t>Vyatka State University (VyatSU)</t>
        </is>
      </c>
      <c r="E1010" s="3" t="inlineStr">
        <is>
          <t>Вятский государственный университет (ВятГУ)</t>
        </is>
      </c>
      <c r="F1010" s="3" t="inlineStr">
        <is>
          <t>https://www.vyatsu.ru</t>
        </is>
      </c>
      <c r="G1010" s="3" t="inlineStr"/>
      <c r="H1010" s="3" t="inlineStr"/>
      <c r="I1010" s="3" t="inlineStr"/>
      <c r="J1010" s="4" t="inlineStr">
        <is>
          <t>не в рейтинге</t>
        </is>
      </c>
      <c r="K1010" s="4" t="inlineStr">
        <is>
          <t>не в рейтинге</t>
        </is>
      </c>
      <c r="L1010" s="4" t="inlineStr">
        <is>
          <t>нет в опубл. списке (опубликован только топ-15 страны)</t>
        </is>
      </c>
      <c r="M1010" s="4" t="inlineStr">
        <is>
          <t>RAEX-100 2026; МосМУР «Три миссии» 2025</t>
        </is>
      </c>
      <c r="N1010" s="4" t="inlineStr">
        <is>
          <t>не в рейтинге</t>
        </is>
      </c>
      <c r="O1010" s="4" t="inlineStr">
        <is>
          <t>https://raex-rr.com/education/russian_universities/top-100_universities/2026/ ; https://mosiur.org/ranking/</t>
        </is>
      </c>
      <c r="P1010" s="4" t="n"/>
    </row>
    <row r="1011">
      <c r="A1011" s="3" t="inlineStr">
        <is>
          <t>Russia|Yaroslav-the-Wise Novgorod State University (NovSU)</t>
        </is>
      </c>
      <c r="B1011" s="3" t="inlineStr">
        <is>
          <t>Russia</t>
        </is>
      </c>
      <c r="C1011" s="3" t="inlineStr">
        <is>
          <t>Великий Новгород</t>
        </is>
      </c>
      <c r="D1011" s="3" t="inlineStr">
        <is>
          <t>Yaroslav-the-Wise Novgorod State University (NovSU)</t>
        </is>
      </c>
      <c r="E1011" s="3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 (НовГУ)</t>
        </is>
      </c>
      <c r="F1011" s="3" t="inlineStr">
        <is>
          <t>https://novsu.ru</t>
        </is>
      </c>
      <c r="G1011" s="3" t="inlineStr"/>
      <c r="H1011" s="3" t="inlineStr"/>
      <c r="I1011" s="3" t="inlineStr"/>
      <c r="J1011" s="4" t="inlineStr">
        <is>
          <t>не в рейтинге</t>
        </is>
      </c>
      <c r="K1011" s="4" t="inlineStr">
        <is>
          <t>не в рейтинге</t>
        </is>
      </c>
      <c r="L1011" s="4" t="inlineStr">
        <is>
          <t>нет в опубл. списке (опубликован только топ-15 страны)</t>
        </is>
      </c>
      <c r="M1011" s="4" t="inlineStr">
        <is>
          <t>RAEX-100 2026; МосМУР «Три миссии» 2025</t>
        </is>
      </c>
      <c r="N1011" s="4" t="inlineStr">
        <is>
          <t>не в рейтинге</t>
        </is>
      </c>
      <c r="O1011" s="4" t="inlineStr">
        <is>
          <t>https://raex-rr.com/education/russian_universities/top-100_universities/2026/ ; https://mosiur.org/ranking/</t>
        </is>
      </c>
      <c r="P1011" s="4" t="n"/>
    </row>
    <row r="1012">
      <c r="A1012" s="3" t="inlineStr">
        <is>
          <t>Russia|Yaroslavl State Technical University</t>
        </is>
      </c>
      <c r="B1012" s="3" t="inlineStr">
        <is>
          <t>Russia</t>
        </is>
      </c>
      <c r="C1012" s="3" t="inlineStr">
        <is>
          <t>Ярославль</t>
        </is>
      </c>
      <c r="D1012" s="3" t="inlineStr">
        <is>
          <t>Yaroslavl State Technical University</t>
        </is>
      </c>
      <c r="E1012" s="3" t="inlineStr">
        <is>
          <t>Ярославский государственный технический университет</t>
        </is>
      </c>
      <c r="F1012" s="3" t="inlineStr">
        <is>
          <t>https://www.ystu.ru</t>
        </is>
      </c>
      <c r="G1012" s="3" t="inlineStr"/>
      <c r="H1012" s="3" t="inlineStr"/>
      <c r="I1012" s="3" t="inlineStr"/>
      <c r="J1012" s="4" t="inlineStr">
        <is>
          <t>не в рейтинге</t>
        </is>
      </c>
      <c r="K1012" s="4" t="inlineStr">
        <is>
          <t>не в рейтинге</t>
        </is>
      </c>
      <c r="L1012" s="4" t="inlineStr">
        <is>
          <t>нет в опубл. списке (опубликован только топ-15 страны)</t>
        </is>
      </c>
      <c r="M1012" s="4" t="inlineStr">
        <is>
          <t>RAEX-100 2026; МосМУР «Три миссии» 2025</t>
        </is>
      </c>
      <c r="N1012" s="4" t="inlineStr">
        <is>
          <t>не в рейтинге</t>
        </is>
      </c>
      <c r="O1012" s="4" t="inlineStr">
        <is>
          <t>https://raex-rr.com/education/russian_universities/top-100_universities/2026/ ; https://mosiur.org/ranking/</t>
        </is>
      </c>
      <c r="P1012" s="4" t="n"/>
    </row>
    <row r="1013">
      <c r="A1013" s="3" t="inlineStr">
        <is>
          <t>Russia|Yugra State University (UGRASU)</t>
        </is>
      </c>
      <c r="B1013" s="3" t="inlineStr">
        <is>
          <t>Russia</t>
        </is>
      </c>
      <c r="C1013" s="3" t="inlineStr">
        <is>
          <t>Ханты-Мансийск</t>
        </is>
      </c>
      <c r="D1013" s="3" t="inlineStr">
        <is>
          <t>Yugra State University (UGRASU)</t>
        </is>
      </c>
      <c r="E1013" s="3" t="inlineStr">
        <is>
          <t>Югорский государственный университет</t>
        </is>
      </c>
      <c r="F1013" s="3" t="inlineStr">
        <is>
          <t>https://www.ugrasu.ru</t>
        </is>
      </c>
      <c r="G1013" s="3" t="inlineStr"/>
      <c r="H1013" s="3" t="inlineStr"/>
      <c r="I1013" s="3" t="inlineStr"/>
      <c r="J1013" s="4" t="inlineStr">
        <is>
          <t>не в рейтинге</t>
        </is>
      </c>
      <c r="K1013" s="4" t="inlineStr">
        <is>
          <t>не в рейтинге</t>
        </is>
      </c>
      <c r="L1013" s="4" t="inlineStr">
        <is>
          <t>нет в опубл. списке (опубликован только топ-15 страны)</t>
        </is>
      </c>
      <c r="M1013" s="4" t="inlineStr">
        <is>
          <t>МосМУР «Три миссии университета» 2025 (мировой, место в мире)</t>
        </is>
      </c>
      <c r="N1013" s="4" t="inlineStr">
        <is>
          <t>1501–1750</t>
        </is>
      </c>
      <c r="O1013" s="4" t="inlineStr">
        <is>
          <t>https://mosiur.org/ranking/</t>
        </is>
      </c>
      <c r="P1013" s="4" t="inlineStr">
        <is>
          <t>в RAEX-100 2026 отсутствует</t>
        </is>
      </c>
    </row>
    <row r="1014">
      <c r="A1014" s="3" t="inlineStr">
        <is>
          <t>Saudi Arabia|Al Yamamah University</t>
        </is>
      </c>
      <c r="B1014" s="3" t="inlineStr">
        <is>
          <t>Saudi Arabia</t>
        </is>
      </c>
      <c r="C1014" s="3" t="inlineStr">
        <is>
          <t>Эр-Рияд</t>
        </is>
      </c>
      <c r="D1014" s="3" t="inlineStr">
        <is>
          <t>Al Yamamah University</t>
        </is>
      </c>
      <c r="E1014" s="3" t="inlineStr">
        <is>
          <t>جامعة اليمامة</t>
        </is>
      </c>
      <c r="F1014" s="3" t="inlineStr">
        <is>
          <t>https://yu.edu.sa</t>
        </is>
      </c>
      <c r="G1014" s="3" t="inlineStr"/>
      <c r="H1014" s="3" t="inlineStr"/>
      <c r="I1014" s="3" t="inlineStr"/>
      <c r="J1014" s="4" t="inlineStr">
        <is>
          <t>не в рейтинге</t>
        </is>
      </c>
      <c r="K1014" s="4" t="inlineStr">
        <is>
          <t>не в рейтинге</t>
        </is>
      </c>
      <c r="L1014" s="4" t="inlineStr">
        <is>
          <t>нет в опубл. списке (опубликован только топ-15 страны)</t>
        </is>
      </c>
      <c r="M1014" s="4" t="inlineStr">
        <is>
          <t>нет общенационального рейтинга</t>
        </is>
      </c>
      <c r="N1014" s="4" t="inlineStr">
        <is>
          <t>—</t>
        </is>
      </c>
      <c r="O1014" s="4" t="n"/>
      <c r="P1014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15">
      <c r="A1015" s="3" t="inlineStr">
        <is>
          <t>Saudi Arabia|AlMaarefa University</t>
        </is>
      </c>
      <c r="B1015" s="3" t="inlineStr">
        <is>
          <t>Saudi Arabia</t>
        </is>
      </c>
      <c r="C1015" s="3" t="inlineStr">
        <is>
          <t>Эр-Рияд</t>
        </is>
      </c>
      <c r="D1015" s="3" t="inlineStr">
        <is>
          <t>AlMaarefa University</t>
        </is>
      </c>
      <c r="E1015" s="3" t="inlineStr">
        <is>
          <t>جامعة المعرفة</t>
        </is>
      </c>
      <c r="F1015" s="3" t="inlineStr">
        <is>
          <t>https://www.um.edu.sa</t>
        </is>
      </c>
      <c r="G1015" s="3" t="inlineStr"/>
      <c r="H1015" s="3" t="inlineStr">
        <is>
          <t>THE2027: 701–800</t>
        </is>
      </c>
      <c r="I1015" s="3" t="inlineStr"/>
      <c r="J1015" s="4" t="inlineStr">
        <is>
          <t>не в рейтинге</t>
        </is>
      </c>
      <c r="K1015" s="4" t="inlineStr">
        <is>
          <t>701–800</t>
        </is>
      </c>
      <c r="L1015" s="4" t="inlineStr">
        <is>
          <t>нет в опубл. списке (опубликован только топ-15 страны)</t>
        </is>
      </c>
      <c r="M1015" s="4" t="inlineStr">
        <is>
          <t>нет общенационального рейтинга</t>
        </is>
      </c>
      <c r="N1015" s="4" t="inlineStr">
        <is>
          <t>—</t>
        </is>
      </c>
      <c r="O1015" s="4" t="inlineStr">
        <is>
          <t>https://www.timeshighereducation.com/world-university-rankings/2027/world-ranking</t>
        </is>
      </c>
      <c r="P1015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16">
      <c r="A1016" s="3" t="inlineStr">
        <is>
          <t>Saudi Arabia|Alfaisal University</t>
        </is>
      </c>
      <c r="B1016" s="3" t="inlineStr">
        <is>
          <t>Saudi Arabia</t>
        </is>
      </c>
      <c r="C1016" s="3" t="inlineStr">
        <is>
          <t>Эр-Рияд</t>
        </is>
      </c>
      <c r="D1016" s="3" t="inlineStr">
        <is>
          <t>Alfaisal University</t>
        </is>
      </c>
      <c r="E1016" s="3" t="inlineStr">
        <is>
          <t>جامعة الفيصل</t>
        </is>
      </c>
      <c r="F1016" s="3" t="inlineStr">
        <is>
          <t>https://www.alfaisal.edu</t>
        </is>
      </c>
      <c r="G1016" s="3" t="inlineStr">
        <is>
          <t>QS2027: 801–850</t>
        </is>
      </c>
      <c r="H1016" s="3" t="inlineStr">
        <is>
          <t>THE2027: 501–550</t>
        </is>
      </c>
      <c r="I1016" s="3" t="inlineStr"/>
      <c r="J1016" s="4" t="inlineStr">
        <is>
          <t>801–850</t>
        </is>
      </c>
      <c r="K1016" s="4" t="inlineStr">
        <is>
          <t>501–550</t>
        </is>
      </c>
      <c r="L1016" s="4" t="inlineStr">
        <is>
          <t>нет в опубл. списке (опубликован только топ-15 страны)</t>
        </is>
      </c>
      <c r="M1016" s="4" t="inlineStr">
        <is>
          <t>нет общенационального рейтинга</t>
        </is>
      </c>
      <c r="N1016" s="4" t="inlineStr">
        <is>
          <t>—</t>
        </is>
      </c>
      <c r="O1016" s="4" t="inlineStr">
        <is>
          <t>https://www.topuniversities.com/world-university-rankings (QS WUR 2027)
https://www.timeshighereducation.com/world-university-rankings/2027/world-ranking</t>
        </is>
      </c>
      <c r="P1016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17">
      <c r="A1017" s="3" t="inlineStr">
        <is>
          <t>Saudi Arabia|Arab Open University - Saudi Arabia (AOU-KSA)</t>
        </is>
      </c>
      <c r="B1017" s="3" t="inlineStr">
        <is>
          <t>Saudi Arabia</t>
        </is>
      </c>
      <c r="C1017" s="3" t="inlineStr">
        <is>
          <t>Эр-Рияд</t>
        </is>
      </c>
      <c r="D1017" s="3" t="inlineStr">
        <is>
          <t>Arab Open University - Saudi Arabia (AOU-KSA)</t>
        </is>
      </c>
      <c r="E1017" s="3" t="inlineStr">
        <is>
          <t>الجامعة العربية المفتوحة - المملكة العربية السعودية</t>
        </is>
      </c>
      <c r="F1017" s="3" t="inlineStr">
        <is>
          <t>https://www.arabou.edu.sa</t>
        </is>
      </c>
      <c r="G1017" s="3" t="inlineStr"/>
      <c r="H1017" s="3" t="inlineStr"/>
      <c r="I1017" s="3" t="inlineStr"/>
      <c r="J1017" s="4" t="inlineStr">
        <is>
          <t>не в рейтинге</t>
        </is>
      </c>
      <c r="K1017" s="4" t="inlineStr">
        <is>
          <t>не в рейтинге</t>
        </is>
      </c>
      <c r="L1017" s="4" t="inlineStr">
        <is>
          <t>нет в опубл. списке (опубликован только топ-15 страны)</t>
        </is>
      </c>
      <c r="M1017" s="4" t="inlineStr">
        <is>
          <t>нет общенационального рейтинга</t>
        </is>
      </c>
      <c r="N1017" s="4" t="inlineStr">
        <is>
          <t>—</t>
        </is>
      </c>
      <c r="O1017" s="4" t="n"/>
      <c r="P1017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18">
      <c r="A1018" s="3" t="inlineStr">
        <is>
          <t>Saudi Arabia|Batterjee Medical College (BMC)</t>
        </is>
      </c>
      <c r="B1018" s="3" t="inlineStr">
        <is>
          <t>Saudi Arabia</t>
        </is>
      </c>
      <c r="C1018" s="3" t="inlineStr">
        <is>
          <t>Джидда</t>
        </is>
      </c>
      <c r="D1018" s="3" t="inlineStr">
        <is>
          <t>Batterjee Medical College (BMC)</t>
        </is>
      </c>
      <c r="E1018" s="3" t="inlineStr">
        <is>
          <t>كليات البترجي الطبية</t>
        </is>
      </c>
      <c r="F1018" s="3" t="inlineStr">
        <is>
          <t>https://bmc.edu.sa</t>
        </is>
      </c>
      <c r="G1018" s="3" t="inlineStr"/>
      <c r="H1018" s="3" t="inlineStr">
        <is>
          <t>THE2027: 1401–1600</t>
        </is>
      </c>
      <c r="I1018" s="3" t="inlineStr"/>
      <c r="J1018" s="4" t="inlineStr">
        <is>
          <t>не в рейтинге</t>
        </is>
      </c>
      <c r="K1018" s="4" t="inlineStr">
        <is>
          <t>1401–1600</t>
        </is>
      </c>
      <c r="L1018" s="4" t="inlineStr">
        <is>
          <t>нет в опубл. списке (опубликован только топ-15 страны)</t>
        </is>
      </c>
      <c r="M1018" s="4" t="inlineStr">
        <is>
          <t>нет общенационального рейтинга</t>
        </is>
      </c>
      <c r="N1018" s="4" t="inlineStr">
        <is>
          <t>—</t>
        </is>
      </c>
      <c r="O1018" s="4" t="inlineStr">
        <is>
          <t>https://www.timeshighereducation.com/world-university-rankings/2027/world-ranking</t>
        </is>
      </c>
      <c r="P1018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19">
      <c r="A1019" s="3" t="inlineStr">
        <is>
          <t>Saudi Arabia|Dar Al Uloom University</t>
        </is>
      </c>
      <c r="B1019" s="3" t="inlineStr">
        <is>
          <t>Saudi Arabia</t>
        </is>
      </c>
      <c r="C1019" s="3" t="inlineStr">
        <is>
          <t>Эр-Рияд</t>
        </is>
      </c>
      <c r="D1019" s="3" t="inlineStr">
        <is>
          <t>Dar Al Uloom University</t>
        </is>
      </c>
      <c r="E1019" s="3" t="inlineStr">
        <is>
          <t>جامعة دار العلوم</t>
        </is>
      </c>
      <c r="F1019" s="3" t="inlineStr">
        <is>
          <t>https://dau.edu.sa</t>
        </is>
      </c>
      <c r="G1019" s="3" t="inlineStr"/>
      <c r="H1019" s="3" t="inlineStr"/>
      <c r="I1019" s="3" t="inlineStr"/>
      <c r="J1019" s="4" t="inlineStr">
        <is>
          <t>не в рейтинге</t>
        </is>
      </c>
      <c r="K1019" s="4" t="inlineStr">
        <is>
          <t>не в рейтинге</t>
        </is>
      </c>
      <c r="L1019" s="4" t="inlineStr">
        <is>
          <t>нет в опубл. списке (опубликован только топ-15 страны)</t>
        </is>
      </c>
      <c r="M1019" s="4" t="inlineStr">
        <is>
          <t>нет общенационального рейтинга</t>
        </is>
      </c>
      <c r="N1019" s="4" t="inlineStr">
        <is>
          <t>—</t>
        </is>
      </c>
      <c r="O1019" s="4" t="n"/>
      <c r="P1019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0">
      <c r="A1020" s="3" t="inlineStr">
        <is>
          <t>Saudi Arabia|Dar Al-Hekma University</t>
        </is>
      </c>
      <c r="B1020" s="3" t="inlineStr">
        <is>
          <t>Saudi Arabia</t>
        </is>
      </c>
      <c r="C1020" s="3" t="inlineStr">
        <is>
          <t>Джидда</t>
        </is>
      </c>
      <c r="D1020" s="3" t="inlineStr">
        <is>
          <t>Dar Al-Hekma University</t>
        </is>
      </c>
      <c r="E1020" s="3" t="inlineStr">
        <is>
          <t>جامعة دار الحكمة</t>
        </is>
      </c>
      <c r="F1020" s="3" t="inlineStr">
        <is>
          <t>https://www.dah.edu.sa</t>
        </is>
      </c>
      <c r="G1020" s="3" t="inlineStr"/>
      <c r="H1020" s="3" t="inlineStr"/>
      <c r="I1020" s="3" t="inlineStr"/>
      <c r="J1020" s="4" t="inlineStr">
        <is>
          <t>не в рейтинге</t>
        </is>
      </c>
      <c r="K1020" s="4" t="inlineStr">
        <is>
          <t>не в рейтинге</t>
        </is>
      </c>
      <c r="L1020" s="4" t="inlineStr">
        <is>
          <t>нет в опубл. списке (опубликован только топ-15 страны)</t>
        </is>
      </c>
      <c r="M1020" s="4" t="inlineStr">
        <is>
          <t>нет общенационального рейтинга</t>
        </is>
      </c>
      <c r="N1020" s="4" t="inlineStr">
        <is>
          <t>—</t>
        </is>
      </c>
      <c r="O1020" s="4" t="n"/>
      <c r="P1020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1">
      <c r="A1021" s="3" t="inlineStr">
        <is>
          <t>Saudi Arabia|Effat University</t>
        </is>
      </c>
      <c r="B1021" s="3" t="inlineStr">
        <is>
          <t>Saudi Arabia</t>
        </is>
      </c>
      <c r="C1021" s="3" t="inlineStr">
        <is>
          <t>Джидда</t>
        </is>
      </c>
      <c r="D1021" s="3" t="inlineStr">
        <is>
          <t>Effat University</t>
        </is>
      </c>
      <c r="E1021" s="3" t="inlineStr">
        <is>
          <t>جامعة عفت</t>
        </is>
      </c>
      <c r="F1021" s="3" t="inlineStr">
        <is>
          <t>https://www.effatuniversity.edu.sa</t>
        </is>
      </c>
      <c r="G1021" s="3" t="inlineStr"/>
      <c r="H1021" s="3" t="inlineStr">
        <is>
          <t>THE2027: 601–650</t>
        </is>
      </c>
      <c r="I1021" s="3" t="inlineStr"/>
      <c r="J1021" s="4" t="inlineStr">
        <is>
          <t>901–950</t>
        </is>
      </c>
      <c r="K1021" s="4" t="inlineStr">
        <is>
          <t>601–650</t>
        </is>
      </c>
      <c r="L1021" s="4" t="inlineStr">
        <is>
          <t>нет в опубл. списке (опубликован только топ-15 страны)</t>
        </is>
      </c>
      <c r="M1021" s="4" t="inlineStr">
        <is>
          <t>нет общенационального рейтинга</t>
        </is>
      </c>
      <c r="N1021" s="4" t="inlineStr">
        <is>
          <t>—</t>
        </is>
      </c>
      <c r="O1021" s="4" t="inlineStr">
        <is>
          <t>https://www.topuniversities.com/world-university-rankings (QS WUR 2027)
https://www.timeshighereducation.com/world-university-rankings/2027/world-ranking</t>
        </is>
      </c>
      <c r="P1021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2">
      <c r="A1022" s="3" t="inlineStr">
        <is>
          <t>Saudi Arabia|Fahad Bin Sultan University</t>
        </is>
      </c>
      <c r="B1022" s="3" t="inlineStr">
        <is>
          <t>Saudi Arabia</t>
        </is>
      </c>
      <c r="C1022" s="3" t="inlineStr">
        <is>
          <t>Табук</t>
        </is>
      </c>
      <c r="D1022" s="3" t="inlineStr">
        <is>
          <t>Fahad Bin Sultan University</t>
        </is>
      </c>
      <c r="E1022" s="3" t="inlineStr">
        <is>
          <t>جامعة فهد بن سلطان</t>
        </is>
      </c>
      <c r="F1022" s="3" t="inlineStr">
        <is>
          <t>https://www.fbsu.edu.sa</t>
        </is>
      </c>
      <c r="G1022" s="3" t="inlineStr"/>
      <c r="H1022" s="3" t="inlineStr"/>
      <c r="I1022" s="3" t="inlineStr"/>
      <c r="J1022" s="4" t="inlineStr">
        <is>
          <t>не в рейтинге</t>
        </is>
      </c>
      <c r="K1022" s="4" t="inlineStr">
        <is>
          <t>не в рейтинге</t>
        </is>
      </c>
      <c r="L1022" s="4" t="inlineStr">
        <is>
          <t>нет в опубл. списке (опубликован только топ-15 страны)</t>
        </is>
      </c>
      <c r="M1022" s="4" t="inlineStr">
        <is>
          <t>нет общенационального рейтинга</t>
        </is>
      </c>
      <c r="N1022" s="4" t="inlineStr">
        <is>
          <t>—</t>
        </is>
      </c>
      <c r="O1022" s="4" t="n"/>
      <c r="P1022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3">
      <c r="A1023" s="3" t="inlineStr">
        <is>
          <t>Saudi Arabia|Imam Mohammad Ibn Saud Islamic University (IMSIU)</t>
        </is>
      </c>
      <c r="B1023" s="3" t="inlineStr">
        <is>
          <t>Saudi Arabia</t>
        </is>
      </c>
      <c r="C1023" s="3" t="inlineStr">
        <is>
          <t>Эр-Рияд</t>
        </is>
      </c>
      <c r="D1023" s="3" t="inlineStr">
        <is>
          <t>Imam Mohammad Ibn Saud Islamic University (IMSIU)</t>
        </is>
      </c>
      <c r="E1023" s="3" t="inlineStr">
        <is>
          <t>جامعة الإمام محمد بن سعود الإسلامية</t>
        </is>
      </c>
      <c r="F1023" s="3" t="inlineStr">
        <is>
          <t>https://imamu.edu.sa</t>
        </is>
      </c>
      <c r="G1023" s="3" t="inlineStr">
        <is>
          <t>QS2027: 791–800</t>
        </is>
      </c>
      <c r="H1023" s="3" t="inlineStr">
        <is>
          <t>THE2027: 601–650</t>
        </is>
      </c>
      <c r="I1023" s="3" t="inlineStr"/>
      <c r="J1023" s="4" t="inlineStr">
        <is>
          <t>791–800</t>
        </is>
      </c>
      <c r="K1023" s="4" t="inlineStr">
        <is>
          <t>601–650</t>
        </is>
      </c>
      <c r="L1023" s="4" t="inlineStr">
        <is>
          <t>1332</t>
        </is>
      </c>
      <c r="M1023" s="4" t="inlineStr">
        <is>
          <t>нет общенационального рейтинга</t>
        </is>
      </c>
      <c r="N1023" s="4" t="inlineStr">
        <is>
          <t>—</t>
        </is>
      </c>
      <c r="O102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23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4">
      <c r="A1024" s="3" t="inlineStr">
        <is>
          <t>Saudi Arabia|Islamic University of Madinah</t>
        </is>
      </c>
      <c r="B1024" s="3" t="inlineStr">
        <is>
          <t>Saudi Arabia</t>
        </is>
      </c>
      <c r="C1024" s="3" t="inlineStr">
        <is>
          <t>Медина</t>
        </is>
      </c>
      <c r="D1024" s="3" t="inlineStr">
        <is>
          <t>Islamic University of Madinah</t>
        </is>
      </c>
      <c r="E1024" s="3" t="inlineStr">
        <is>
          <t>الجامعة الإسلامية بالمدينة المنورة</t>
        </is>
      </c>
      <c r="F1024" s="3" t="inlineStr">
        <is>
          <t>https://iu.edu.sa</t>
        </is>
      </c>
      <c r="G1024" s="3" t="inlineStr">
        <is>
          <t>QS2027: 1001–1200</t>
        </is>
      </c>
      <c r="H1024" s="3" t="inlineStr">
        <is>
          <t>THE2027: 701–800</t>
        </is>
      </c>
      <c r="I1024" s="3" t="inlineStr"/>
      <c r="J1024" s="4" t="inlineStr">
        <is>
          <t>1001–1200</t>
        </is>
      </c>
      <c r="K1024" s="4" t="inlineStr">
        <is>
          <t>701–800</t>
        </is>
      </c>
      <c r="L1024" s="4" t="inlineStr">
        <is>
          <t>нет в опубл. списке (опубликован только топ-15 страны)</t>
        </is>
      </c>
      <c r="M1024" s="4" t="inlineStr">
        <is>
          <t>нет общенационального рейтинга</t>
        </is>
      </c>
      <c r="N1024" s="4" t="inlineStr">
        <is>
          <t>—</t>
        </is>
      </c>
      <c r="O1024" s="4" t="inlineStr">
        <is>
          <t>https://www.topuniversities.com/world-university-rankings (QS WUR 2027)
https://www.timeshighereducation.com/world-university-rankings/2027/world-ranking</t>
        </is>
      </c>
      <c r="P1024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5">
      <c r="A1025" s="3" t="inlineStr">
        <is>
          <t>Saudi Arabia|Jouf University</t>
        </is>
      </c>
      <c r="B1025" s="3" t="inlineStr">
        <is>
          <t>Saudi Arabia</t>
        </is>
      </c>
      <c r="C1025" s="3" t="inlineStr">
        <is>
          <t>Сакака</t>
        </is>
      </c>
      <c r="D1025" s="3" t="inlineStr">
        <is>
          <t>Jouf University</t>
        </is>
      </c>
      <c r="E1025" s="3" t="inlineStr">
        <is>
          <t>جامعة الجوف</t>
        </is>
      </c>
      <c r="F1025" s="3" t="inlineStr">
        <is>
          <t>https://www.ju.edu.sa</t>
        </is>
      </c>
      <c r="G1025" s="3" t="inlineStr">
        <is>
          <t>QS2027: 951–1000</t>
        </is>
      </c>
      <c r="H1025" s="3" t="inlineStr">
        <is>
          <t>THE2027: 651–700</t>
        </is>
      </c>
      <c r="I1025" s="3" t="inlineStr"/>
      <c r="J1025" s="4" t="inlineStr">
        <is>
          <t>951–1000</t>
        </is>
      </c>
      <c r="K1025" s="4" t="inlineStr">
        <is>
          <t>651–700</t>
        </is>
      </c>
      <c r="L1025" s="4" t="inlineStr">
        <is>
          <t>1416</t>
        </is>
      </c>
      <c r="M1025" s="4" t="inlineStr">
        <is>
          <t>нет общенационального рейтинга</t>
        </is>
      </c>
      <c r="N1025" s="4" t="inlineStr">
        <is>
          <t>—</t>
        </is>
      </c>
      <c r="O102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25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6">
      <c r="A1026" s="3" t="inlineStr">
        <is>
          <t>Saudi Arabia|King Abdulaziz University</t>
        </is>
      </c>
      <c r="B1026" s="3" t="inlineStr">
        <is>
          <t>Saudi Arabia</t>
        </is>
      </c>
      <c r="C1026" s="3" t="inlineStr">
        <is>
          <t>Джидда</t>
        </is>
      </c>
      <c r="D1026" s="3" t="inlineStr">
        <is>
          <t>King Abdulaziz University</t>
        </is>
      </c>
      <c r="E1026" s="3" t="inlineStr">
        <is>
          <t>جامعة الملك عبدالعزيز</t>
        </is>
      </c>
      <c r="F1026" s="3" t="inlineStr">
        <is>
          <t>https://www.kau.edu.sa</t>
        </is>
      </c>
      <c r="G1026" s="3" t="inlineStr">
        <is>
          <t>QS2027: 200</t>
        </is>
      </c>
      <c r="H1026" s="3" t="inlineStr">
        <is>
          <t>THE2027: 401–450</t>
        </is>
      </c>
      <c r="I1026" s="3" t="inlineStr"/>
      <c r="J1026" s="4" t="inlineStr">
        <is>
          <t>200</t>
        </is>
      </c>
      <c r="K1026" s="4" t="inlineStr">
        <is>
          <t>401–450</t>
        </is>
      </c>
      <c r="L1026" s="4" t="inlineStr">
        <is>
          <t>411</t>
        </is>
      </c>
      <c r="M1026" s="4" t="inlineStr">
        <is>
          <t>нет общенационального рейтинга</t>
        </is>
      </c>
      <c r="N1026" s="4" t="inlineStr">
        <is>
          <t>—</t>
        </is>
      </c>
      <c r="O102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26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7">
      <c r="A1027" s="3" t="inlineStr">
        <is>
          <t>Saudi Arabia|King Abdullah University of Science and Technology (KAUST)</t>
        </is>
      </c>
      <c r="B1027" s="3" t="inlineStr">
        <is>
          <t>Saudi Arabia</t>
        </is>
      </c>
      <c r="C1027" s="3" t="inlineStr">
        <is>
          <t>Тувал</t>
        </is>
      </c>
      <c r="D1027" s="3" t="inlineStr">
        <is>
          <t>King Abdullah University of Science and Technology (KAUST)</t>
        </is>
      </c>
      <c r="E1027" s="3" t="inlineStr">
        <is>
          <t>جامعة الملك عبدالله للعلوم والتقنية</t>
        </is>
      </c>
      <c r="F1027" s="3" t="inlineStr">
        <is>
          <t>https://www.kaust.edu.sa</t>
        </is>
      </c>
      <c r="G1027" s="3" t="inlineStr"/>
      <c r="H1027" s="3" t="inlineStr"/>
      <c r="I1027" s="3" t="inlineStr"/>
      <c r="J1027" s="4" t="inlineStr">
        <is>
          <t>не в рейтинге</t>
        </is>
      </c>
      <c r="K1027" s="4" t="inlineStr">
        <is>
          <t>Reporter</t>
        </is>
      </c>
      <c r="L1027" s="4" t="inlineStr">
        <is>
          <t>406</t>
        </is>
      </c>
      <c r="M1027" s="4" t="inlineStr">
        <is>
          <t>нет общенационального рейтинга</t>
        </is>
      </c>
      <c r="N1027" s="4" t="inlineStr">
        <is>
          <t>—</t>
        </is>
      </c>
      <c r="O1027" s="4" t="inlineStr">
        <is>
          <t>https://www.timeshighereducation.com/world-university-rankings/2027/world-ranking
https://figshare.com/articles/preprint/Ranking_Web_of_Universities_webometrics_info_July_2026_edition/33062150</t>
        </is>
      </c>
      <c r="P1027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8">
      <c r="A1028" s="3" t="inlineStr">
        <is>
          <t>Saudi Arabia|King Fahd University of Petroleum and Minerals (KFUPM)</t>
        </is>
      </c>
      <c r="B1028" s="3" t="inlineStr">
        <is>
          <t>Saudi Arabia</t>
        </is>
      </c>
      <c r="C1028" s="3" t="inlineStr">
        <is>
          <t>Дахран</t>
        </is>
      </c>
      <c r="D1028" s="3" t="inlineStr">
        <is>
          <t>King Fahd University of Petroleum and Minerals (KFUPM)</t>
        </is>
      </c>
      <c r="E1028" s="3" t="inlineStr">
        <is>
          <t>جامعة الملك فهد للبترول والمعادن</t>
        </is>
      </c>
      <c r="F1028" s="3" t="inlineStr">
        <is>
          <t>https://www.kfupm.edu.sa</t>
        </is>
      </c>
      <c r="G1028" s="3" t="inlineStr">
        <is>
          <t>QS2027: 63</t>
        </is>
      </c>
      <c r="H1028" s="3" t="inlineStr">
        <is>
          <t>THE2027: =176</t>
        </is>
      </c>
      <c r="I1028" s="3" t="inlineStr"/>
      <c r="J1028" s="4" t="inlineStr">
        <is>
          <t>63</t>
        </is>
      </c>
      <c r="K1028" s="4">
        <f>176</f>
        <v/>
      </c>
      <c r="L1028" s="4" t="inlineStr">
        <is>
          <t>580</t>
        </is>
      </c>
      <c r="M1028" s="4" t="inlineStr">
        <is>
          <t>нет общенационального рейтинга</t>
        </is>
      </c>
      <c r="N1028" s="4" t="inlineStr">
        <is>
          <t>—</t>
        </is>
      </c>
      <c r="O102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28" s="4" t="inlineStr">
        <is>
          <t>QS: в таблице как «KFUPM»; THE: в таблице как «KFUPM»;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29">
      <c r="A1029" s="3" t="inlineStr">
        <is>
          <t>Saudi Arabia|King Faisal University</t>
        </is>
      </c>
      <c r="B1029" s="3" t="inlineStr">
        <is>
          <t>Saudi Arabia</t>
        </is>
      </c>
      <c r="C1029" s="3" t="inlineStr">
        <is>
          <t>Эль-Хаса (Хуфуф)</t>
        </is>
      </c>
      <c r="D1029" s="3" t="inlineStr">
        <is>
          <t>King Faisal University</t>
        </is>
      </c>
      <c r="E1029" s="3" t="inlineStr">
        <is>
          <t>جامعة الملك فيصل</t>
        </is>
      </c>
      <c r="F1029" s="3" t="inlineStr">
        <is>
          <t>https://www.kfu.edu.sa</t>
        </is>
      </c>
      <c r="G1029" s="3" t="inlineStr">
        <is>
          <t>QS2027: =567</t>
        </is>
      </c>
      <c r="H1029" s="3" t="inlineStr">
        <is>
          <t>THE2027: 551–600</t>
        </is>
      </c>
      <c r="I1029" s="3" t="inlineStr"/>
      <c r="J1029" s="4">
        <f>567</f>
        <v/>
      </c>
      <c r="K1029" s="4" t="inlineStr">
        <is>
          <t>551–600</t>
        </is>
      </c>
      <c r="L1029" s="4" t="inlineStr">
        <is>
          <t>1114</t>
        </is>
      </c>
      <c r="M1029" s="4" t="inlineStr">
        <is>
          <t>нет общенационального рейтинга</t>
        </is>
      </c>
      <c r="N1029" s="4" t="inlineStr">
        <is>
          <t>—</t>
        </is>
      </c>
      <c r="O102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29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0">
      <c r="A1030" s="3" t="inlineStr">
        <is>
          <t>Saudi Arabia|King Khalid University</t>
        </is>
      </c>
      <c r="B1030" s="3" t="inlineStr">
        <is>
          <t>Saudi Arabia</t>
        </is>
      </c>
      <c r="C1030" s="3" t="inlineStr">
        <is>
          <t>Абха</t>
        </is>
      </c>
      <c r="D1030" s="3" t="inlineStr">
        <is>
          <t>King Khalid University</t>
        </is>
      </c>
      <c r="E1030" s="3" t="inlineStr">
        <is>
          <t>جامعة الملك خالد</t>
        </is>
      </c>
      <c r="F1030" s="3" t="inlineStr">
        <is>
          <t>https://www.kku.edu.sa</t>
        </is>
      </c>
      <c r="G1030" s="3" t="inlineStr">
        <is>
          <t>QS2027: 514</t>
        </is>
      </c>
      <c r="H1030" s="3" t="inlineStr">
        <is>
          <t>THE2027: 301–325</t>
        </is>
      </c>
      <c r="I1030" s="3" t="inlineStr"/>
      <c r="J1030" s="4" t="inlineStr">
        <is>
          <t>514</t>
        </is>
      </c>
      <c r="K1030" s="4" t="inlineStr">
        <is>
          <t>301–325</t>
        </is>
      </c>
      <c r="L1030" s="4" t="inlineStr">
        <is>
          <t>680</t>
        </is>
      </c>
      <c r="M1030" s="4" t="inlineStr">
        <is>
          <t>нет общенационального рейтинга</t>
        </is>
      </c>
      <c r="N1030" s="4" t="inlineStr">
        <is>
          <t>—</t>
        </is>
      </c>
      <c r="O103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30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1">
      <c r="A1031" s="3" t="inlineStr">
        <is>
          <t>Saudi Arabia|King Saud University</t>
        </is>
      </c>
      <c r="B1031" s="3" t="inlineStr">
        <is>
          <t>Saudi Arabia</t>
        </is>
      </c>
      <c r="C1031" s="3" t="inlineStr">
        <is>
          <t>Эр-Рияд</t>
        </is>
      </c>
      <c r="D1031" s="3" t="inlineStr">
        <is>
          <t>King Saud University</t>
        </is>
      </c>
      <c r="E1031" s="3" t="inlineStr">
        <is>
          <t>جامعة الملك سعود</t>
        </is>
      </c>
      <c r="F1031" s="3" t="inlineStr">
        <is>
          <t>https://ksu.edu.sa</t>
        </is>
      </c>
      <c r="G1031" s="3" t="inlineStr">
        <is>
          <t>QS2027: 107</t>
        </is>
      </c>
      <c r="H1031" s="3" t="inlineStr">
        <is>
          <t>THE2027: 216</t>
        </is>
      </c>
      <c r="I1031" s="3" t="inlineStr"/>
      <c r="J1031" s="4" t="inlineStr">
        <is>
          <t>107</t>
        </is>
      </c>
      <c r="K1031" s="4" t="inlineStr">
        <is>
          <t>216</t>
        </is>
      </c>
      <c r="L1031" s="4" t="inlineStr">
        <is>
          <t>188</t>
        </is>
      </c>
      <c r="M1031" s="4" t="inlineStr">
        <is>
          <t>нет общенационального рейтинга</t>
        </is>
      </c>
      <c r="N1031" s="4" t="inlineStr">
        <is>
          <t>—</t>
        </is>
      </c>
      <c r="O103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31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2">
      <c r="A1032" s="3" t="inlineStr">
        <is>
          <t>Saudi Arabia|Najran University</t>
        </is>
      </c>
      <c r="B1032" s="3" t="inlineStr">
        <is>
          <t>Saudi Arabia</t>
        </is>
      </c>
      <c r="C1032" s="3" t="inlineStr">
        <is>
          <t>Наджран</t>
        </is>
      </c>
      <c r="D1032" s="3" t="inlineStr">
        <is>
          <t>Najran University</t>
        </is>
      </c>
      <c r="E1032" s="3" t="inlineStr">
        <is>
          <t>جامعة نجران</t>
        </is>
      </c>
      <c r="F1032" s="3" t="inlineStr">
        <is>
          <t>https://www.nu.edu.sa</t>
        </is>
      </c>
      <c r="G1032" s="3" t="inlineStr"/>
      <c r="H1032" s="3" t="inlineStr">
        <is>
          <t>THE2027: 801–1000</t>
        </is>
      </c>
      <c r="I1032" s="3" t="inlineStr"/>
      <c r="J1032" s="4" t="inlineStr">
        <is>
          <t>не в рейтинге</t>
        </is>
      </c>
      <c r="K1032" s="4" t="inlineStr">
        <is>
          <t>801–1000</t>
        </is>
      </c>
      <c r="L1032" s="4" t="inlineStr">
        <is>
          <t>нет в опубл. списке (опубликован только топ-15 страны)</t>
        </is>
      </c>
      <c r="M1032" s="4" t="inlineStr">
        <is>
          <t>нет общенационального рейтинга</t>
        </is>
      </c>
      <c r="N1032" s="4" t="inlineStr">
        <is>
          <t>—</t>
        </is>
      </c>
      <c r="O1032" s="4" t="inlineStr">
        <is>
          <t>https://www.timeshighereducation.com/world-university-rankings/2027/world-ranking</t>
        </is>
      </c>
      <c r="P1032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3">
      <c r="A1033" s="3" t="inlineStr">
        <is>
          <t>Saudi Arabia|Northern Border University</t>
        </is>
      </c>
      <c r="B1033" s="3" t="inlineStr">
        <is>
          <t>Saudi Arabia</t>
        </is>
      </c>
      <c r="C1033" s="3" t="inlineStr">
        <is>
          <t>Арар</t>
        </is>
      </c>
      <c r="D1033" s="3" t="inlineStr">
        <is>
          <t>Northern Border University</t>
        </is>
      </c>
      <c r="E1033" s="3" t="inlineStr">
        <is>
          <t>جامعة الحدود الشمالية</t>
        </is>
      </c>
      <c r="F1033" s="3" t="inlineStr">
        <is>
          <t>https://www.nbu.edu.sa</t>
        </is>
      </c>
      <c r="G1033" s="3" t="inlineStr">
        <is>
          <t>QS2027: 1001–1200</t>
        </is>
      </c>
      <c r="H1033" s="3" t="inlineStr">
        <is>
          <t>THE2027: 801–1000</t>
        </is>
      </c>
      <c r="I1033" s="3" t="inlineStr"/>
      <c r="J1033" s="4" t="inlineStr">
        <is>
          <t>1001–1200</t>
        </is>
      </c>
      <c r="K1033" s="4" t="inlineStr">
        <is>
          <t>801–1000</t>
        </is>
      </c>
      <c r="L1033" s="4" t="inlineStr">
        <is>
          <t>нет в опубл. списке (опубликован только топ-15 страны)</t>
        </is>
      </c>
      <c r="M1033" s="4" t="inlineStr">
        <is>
          <t>нет общенационального рейтинга</t>
        </is>
      </c>
      <c r="N1033" s="4" t="inlineStr">
        <is>
          <t>—</t>
        </is>
      </c>
      <c r="O1033" s="4" t="inlineStr">
        <is>
          <t>https://www.topuniversities.com/world-university-rankings (QS WUR 2027)
https://www.timeshighereducation.com/world-university-rankings/2027/world-ranking</t>
        </is>
      </c>
      <c r="P1033" s="4" t="inlineStr">
        <is>
          <t>QS: в таблице как «Northern Borders University»;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4">
      <c r="A1034" s="3" t="inlineStr">
        <is>
          <t>Saudi Arabia|Prince Mohammad Bin Fahd University</t>
        </is>
      </c>
      <c r="B1034" s="3" t="inlineStr">
        <is>
          <t>Saudi Arabia</t>
        </is>
      </c>
      <c r="C1034" s="3" t="inlineStr">
        <is>
          <t>Эль-Хобар</t>
        </is>
      </c>
      <c r="D1034" s="3" t="inlineStr">
        <is>
          <t>Prince Mohammad Bin Fahd University</t>
        </is>
      </c>
      <c r="E1034" s="3" t="inlineStr">
        <is>
          <t>جامعة الأمير محمد بن فهد</t>
        </is>
      </c>
      <c r="F1034" s="3" t="inlineStr">
        <is>
          <t>https://www.pmu.edu.sa</t>
        </is>
      </c>
      <c r="G1034" s="3" t="inlineStr">
        <is>
          <t>QS2027: 421</t>
        </is>
      </c>
      <c r="H1034" s="3" t="inlineStr">
        <is>
          <t>THE2027: 401–450</t>
        </is>
      </c>
      <c r="I1034" s="3" t="inlineStr"/>
      <c r="J1034" s="4" t="inlineStr">
        <is>
          <t>421</t>
        </is>
      </c>
      <c r="K1034" s="4" t="inlineStr">
        <is>
          <t>401–450</t>
        </is>
      </c>
      <c r="L1034" s="4" t="inlineStr">
        <is>
          <t>нет в опубл. списке (опубликован только топ-15 страны)</t>
        </is>
      </c>
      <c r="M1034" s="4" t="inlineStr">
        <is>
          <t>нет общенационального рейтинга</t>
        </is>
      </c>
      <c r="N1034" s="4" t="inlineStr">
        <is>
          <t>—</t>
        </is>
      </c>
      <c r="O1034" s="4" t="inlineStr">
        <is>
          <t>https://www.topuniversities.com/world-university-rankings (QS WUR 2027)
https://www.timeshighereducation.com/world-university-rankings/2027/world-ranking</t>
        </is>
      </c>
      <c r="P1034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5">
      <c r="A1035" s="3" t="inlineStr">
        <is>
          <t>Saudi Arabia|Prince Sattam bin Abdulaziz University</t>
        </is>
      </c>
      <c r="B1035" s="3" t="inlineStr">
        <is>
          <t>Saudi Arabia</t>
        </is>
      </c>
      <c r="C1035" s="3" t="inlineStr">
        <is>
          <t>Эль-Хардж</t>
        </is>
      </c>
      <c r="D1035" s="3" t="inlineStr">
        <is>
          <t>Prince Sattam bin Abdulaziz University</t>
        </is>
      </c>
      <c r="E1035" s="3" t="inlineStr">
        <is>
          <t>جامعة الأمير سطام بن عبدالعزيز</t>
        </is>
      </c>
      <c r="F1035" s="3" t="inlineStr">
        <is>
          <t>https://www.psau.edu.sa</t>
        </is>
      </c>
      <c r="G1035" s="3" t="inlineStr">
        <is>
          <t>QS2027: 677</t>
        </is>
      </c>
      <c r="H1035" s="3" t="inlineStr">
        <is>
          <t>THE2027: 401–450</t>
        </is>
      </c>
      <c r="I1035" s="3" t="inlineStr"/>
      <c r="J1035" s="4">
        <f>677</f>
        <v/>
      </c>
      <c r="K1035" s="4" t="inlineStr">
        <is>
          <t>401–450</t>
        </is>
      </c>
      <c r="L1035" s="4" t="inlineStr">
        <is>
          <t>996</t>
        </is>
      </c>
      <c r="M1035" s="4" t="inlineStr">
        <is>
          <t>нет общенационального рейтинга</t>
        </is>
      </c>
      <c r="N1035" s="4" t="inlineStr">
        <is>
          <t>—</t>
        </is>
      </c>
      <c r="O103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35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6">
      <c r="A1036" s="3" t="inlineStr">
        <is>
          <t>Saudi Arabia|Prince Sultan University</t>
        </is>
      </c>
      <c r="B1036" s="3" t="inlineStr">
        <is>
          <t>Saudi Arabia</t>
        </is>
      </c>
      <c r="C1036" s="3" t="inlineStr">
        <is>
          <t>Эр-Рияд</t>
        </is>
      </c>
      <c r="D1036" s="3" t="inlineStr">
        <is>
          <t>Prince Sultan University</t>
        </is>
      </c>
      <c r="E1036" s="3" t="inlineStr">
        <is>
          <t>جامعة الأمير سلطان</t>
        </is>
      </c>
      <c r="F1036" s="3" t="inlineStr">
        <is>
          <t>https://www.psu.edu.sa</t>
        </is>
      </c>
      <c r="G1036" s="3" t="inlineStr">
        <is>
          <t>QS2027: 488</t>
        </is>
      </c>
      <c r="H1036" s="3" t="inlineStr">
        <is>
          <t>THE2027: 376–400</t>
        </is>
      </c>
      <c r="I1036" s="3" t="inlineStr"/>
      <c r="J1036" s="4">
        <f>488</f>
        <v/>
      </c>
      <c r="K1036" s="4" t="inlineStr">
        <is>
          <t>376–400</t>
        </is>
      </c>
      <c r="L1036" s="4" t="inlineStr">
        <is>
          <t>нет в опубл. списке (опубликован только топ-15 страны)</t>
        </is>
      </c>
      <c r="M1036" s="4" t="inlineStr">
        <is>
          <t>нет общенационального рейтинга</t>
        </is>
      </c>
      <c r="N1036" s="4" t="inlineStr">
        <is>
          <t>—</t>
        </is>
      </c>
      <c r="O1036" s="4" t="inlineStr">
        <is>
          <t>https://www.topuniversities.com/world-university-rankings (QS WUR 2027)
https://www.timeshighereducation.com/world-university-rankings/2027/world-ranking</t>
        </is>
      </c>
      <c r="P1036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7">
      <c r="A1037" s="3" t="inlineStr">
        <is>
          <t>Saudi Arabia|Princess Nourah bint Abdulrahman University</t>
        </is>
      </c>
      <c r="B1037" s="3" t="inlineStr">
        <is>
          <t>Saudi Arabia</t>
        </is>
      </c>
      <c r="C1037" s="3" t="inlineStr">
        <is>
          <t>Эр-Рияд</t>
        </is>
      </c>
      <c r="D1037" s="3" t="inlineStr">
        <is>
          <t>Princess Nourah bint Abdulrahman University</t>
        </is>
      </c>
      <c r="E1037" s="3" t="inlineStr">
        <is>
          <t>جامعة الأميرة نورة بنت عبدالرحمن</t>
        </is>
      </c>
      <c r="F1037" s="3" t="inlineStr">
        <is>
          <t>https://www.pnu.edu.sa</t>
        </is>
      </c>
      <c r="G1037" s="3" t="inlineStr">
        <is>
          <t>QS2027: 801–850</t>
        </is>
      </c>
      <c r="H1037" s="3" t="inlineStr">
        <is>
          <t>THE2027: 451–500</t>
        </is>
      </c>
      <c r="I1037" s="3" t="inlineStr"/>
      <c r="J1037" s="4" t="inlineStr">
        <is>
          <t>801–850</t>
        </is>
      </c>
      <c r="K1037" s="4" t="inlineStr">
        <is>
          <t>451–500</t>
        </is>
      </c>
      <c r="L1037" s="4" t="inlineStr">
        <is>
          <t>867</t>
        </is>
      </c>
      <c r="M1037" s="4" t="inlineStr">
        <is>
          <t>нет общенационального рейтинга</t>
        </is>
      </c>
      <c r="N1037" s="4" t="inlineStr">
        <is>
          <t>—</t>
        </is>
      </c>
      <c r="O103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37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8">
      <c r="A1038" s="3" t="inlineStr">
        <is>
          <t>Saudi Arabia|Qassim University</t>
        </is>
      </c>
      <c r="B1038" s="3" t="inlineStr">
        <is>
          <t>Saudi Arabia</t>
        </is>
      </c>
      <c r="C1038" s="3" t="inlineStr">
        <is>
          <t>Бурайда</t>
        </is>
      </c>
      <c r="D1038" s="3" t="inlineStr">
        <is>
          <t>Qassim University</t>
        </is>
      </c>
      <c r="E1038" s="3" t="inlineStr">
        <is>
          <t>جامعة القصيم</t>
        </is>
      </c>
      <c r="F1038" s="3" t="inlineStr">
        <is>
          <t>https://www.qu.edu.sa</t>
        </is>
      </c>
      <c r="G1038" s="3" t="inlineStr">
        <is>
          <t>QS2027: 781–790</t>
        </is>
      </c>
      <c r="H1038" s="3" t="inlineStr">
        <is>
          <t>THE2027: 801–1000</t>
        </is>
      </c>
      <c r="I1038" s="3" t="inlineStr"/>
      <c r="J1038" s="4" t="inlineStr">
        <is>
          <t>781–790</t>
        </is>
      </c>
      <c r="K1038" s="4" t="inlineStr">
        <is>
          <t>801–1000</t>
        </is>
      </c>
      <c r="L1038" s="4" t="inlineStr">
        <is>
          <t>1143</t>
        </is>
      </c>
      <c r="M1038" s="4" t="inlineStr">
        <is>
          <t>нет общенационального рейтинга</t>
        </is>
      </c>
      <c r="N1038" s="4" t="inlineStr">
        <is>
          <t>—</t>
        </is>
      </c>
      <c r="O103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38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39">
      <c r="A1039" s="3" t="inlineStr">
        <is>
          <t>Saudi Arabia|Riyadh Elm University (REU)</t>
        </is>
      </c>
      <c r="B1039" s="3" t="inlineStr">
        <is>
          <t>Saudi Arabia</t>
        </is>
      </c>
      <c r="C1039" s="3" t="inlineStr">
        <is>
          <t>Эр-Рияд</t>
        </is>
      </c>
      <c r="D1039" s="3" t="inlineStr">
        <is>
          <t>Riyadh Elm University (REU)</t>
        </is>
      </c>
      <c r="E1039" s="3" t="inlineStr">
        <is>
          <t>جامعة رياض العلم</t>
        </is>
      </c>
      <c r="F1039" s="3" t="inlineStr">
        <is>
          <t>https://www.riyadh.edu.sa</t>
        </is>
      </c>
      <c r="G1039" s="3" t="inlineStr"/>
      <c r="H1039" s="3" t="inlineStr"/>
      <c r="I1039" s="3" t="inlineStr"/>
      <c r="J1039" s="4" t="inlineStr">
        <is>
          <t>не в рейтинге</t>
        </is>
      </c>
      <c r="K1039" s="4" t="inlineStr">
        <is>
          <t>не в рейтинге</t>
        </is>
      </c>
      <c r="L1039" s="4" t="inlineStr">
        <is>
          <t>нет в опубл. списке (опубликован только топ-15 страны)</t>
        </is>
      </c>
      <c r="M1039" s="4" t="inlineStr">
        <is>
          <t>нет общенационального рейтинга</t>
        </is>
      </c>
      <c r="N1039" s="4" t="inlineStr">
        <is>
          <t>—</t>
        </is>
      </c>
      <c r="O1039" s="4" t="n"/>
      <c r="P1039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0">
      <c r="A1040" s="3" t="inlineStr">
        <is>
          <t>Saudi Arabia|Saudi Electronic University</t>
        </is>
      </c>
      <c r="B1040" s="3" t="inlineStr">
        <is>
          <t>Saudi Arabia</t>
        </is>
      </c>
      <c r="C1040" s="3" t="inlineStr">
        <is>
          <t>Эр-Рияд</t>
        </is>
      </c>
      <c r="D1040" s="3" t="inlineStr">
        <is>
          <t>Saudi Electronic University</t>
        </is>
      </c>
      <c r="E1040" s="3" t="inlineStr">
        <is>
          <t>الجامعة السعودية الإلكترونية</t>
        </is>
      </c>
      <c r="F1040" s="3" t="inlineStr">
        <is>
          <t>https://seu.edu.sa</t>
        </is>
      </c>
      <c r="G1040" s="3" t="inlineStr"/>
      <c r="H1040" s="3" t="inlineStr">
        <is>
          <t>THE2027: 1201–1400</t>
        </is>
      </c>
      <c r="I1040" s="3" t="inlineStr"/>
      <c r="J1040" s="4" t="inlineStr">
        <is>
          <t>не в рейтинге</t>
        </is>
      </c>
      <c r="K1040" s="4" t="inlineStr">
        <is>
          <t>1201–1400</t>
        </is>
      </c>
      <c r="L1040" s="4" t="inlineStr">
        <is>
          <t>нет в опубл. списке (опубликован только топ-15 страны)</t>
        </is>
      </c>
      <c r="M1040" s="4" t="inlineStr">
        <is>
          <t>нет общенационального рейтинга</t>
        </is>
      </c>
      <c r="N1040" s="4" t="inlineStr">
        <is>
          <t>—</t>
        </is>
      </c>
      <c r="O1040" s="4" t="inlineStr">
        <is>
          <t>https://www.timeshighereducation.com/world-university-rankings/2027/world-ranking</t>
        </is>
      </c>
      <c r="P1040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1">
      <c r="A1041" s="3" t="inlineStr">
        <is>
          <t>Saudi Arabia|Saudi Space Agency</t>
        </is>
      </c>
      <c r="B1041" s="3" t="inlineStr">
        <is>
          <t>Saudi Arabia</t>
        </is>
      </c>
      <c r="C1041" s="3" t="inlineStr">
        <is>
          <t>Эр-Рияд</t>
        </is>
      </c>
      <c r="D1041" s="3" t="inlineStr">
        <is>
          <t>Saudi Space Agency</t>
        </is>
      </c>
      <c r="E1041" s="3" t="inlineStr">
        <is>
          <t>وكالة الفضاء السعودية</t>
        </is>
      </c>
      <c r="F1041" s="3" t="inlineStr">
        <is>
          <t>https://ssa.gov.sa</t>
        </is>
      </c>
      <c r="G1041" s="3" t="inlineStr"/>
      <c r="H1041" s="3" t="inlineStr"/>
      <c r="I1041" s="3" t="inlineStr"/>
      <c r="J1041" s="4" t="inlineStr">
        <is>
          <t>не в рейтинге</t>
        </is>
      </c>
      <c r="K1041" s="4" t="inlineStr">
        <is>
          <t>не в рейтинге</t>
        </is>
      </c>
      <c r="L1041" s="4" t="inlineStr">
        <is>
          <t>нет в опубл. списке (опубликован только топ-15 страны)</t>
        </is>
      </c>
      <c r="M1041" s="4" t="inlineStr">
        <is>
          <t>нет общенационального рейтинга</t>
        </is>
      </c>
      <c r="N1041" s="4" t="inlineStr">
        <is>
          <t>—</t>
        </is>
      </c>
      <c r="O1041" s="4" t="n"/>
      <c r="P1041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2">
      <c r="A1042" s="3" t="inlineStr">
        <is>
          <t>Saudi Arabia|Shaqra University</t>
        </is>
      </c>
      <c r="B1042" s="3" t="inlineStr">
        <is>
          <t>Saudi Arabia</t>
        </is>
      </c>
      <c r="C1042" s="3" t="inlineStr">
        <is>
          <t>Шакра</t>
        </is>
      </c>
      <c r="D1042" s="3" t="inlineStr">
        <is>
          <t>Shaqra University</t>
        </is>
      </c>
      <c r="E1042" s="3" t="inlineStr">
        <is>
          <t>جامعة شقراء</t>
        </is>
      </c>
      <c r="F1042" s="3" t="inlineStr">
        <is>
          <t>https://www.su.edu.sa</t>
        </is>
      </c>
      <c r="G1042" s="3" t="inlineStr"/>
      <c r="H1042" s="3" t="inlineStr">
        <is>
          <t>THE2027: 801–1000</t>
        </is>
      </c>
      <c r="I1042" s="3" t="inlineStr"/>
      <c r="J1042" s="4" t="inlineStr">
        <is>
          <t>не в рейтинге</t>
        </is>
      </c>
      <c r="K1042" s="4" t="inlineStr">
        <is>
          <t>801–1000</t>
        </is>
      </c>
      <c r="L1042" s="4" t="inlineStr">
        <is>
          <t>нет в опубл. списке (опубликован только топ-15 страны)</t>
        </is>
      </c>
      <c r="M1042" s="4" t="inlineStr">
        <is>
          <t>нет общенационального рейтинга</t>
        </is>
      </c>
      <c r="N1042" s="4" t="inlineStr">
        <is>
          <t>—</t>
        </is>
      </c>
      <c r="O1042" s="4" t="inlineStr">
        <is>
          <t>https://www.timeshighereducation.com/world-university-rankings/2027/world-ranking</t>
        </is>
      </c>
      <c r="P1042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3">
      <c r="A1043" s="3" t="inlineStr">
        <is>
          <t>Saudi Arabia|Taibah University</t>
        </is>
      </c>
      <c r="B1043" s="3" t="inlineStr">
        <is>
          <t>Saudi Arabia</t>
        </is>
      </c>
      <c r="C1043" s="3" t="inlineStr">
        <is>
          <t>Медина</t>
        </is>
      </c>
      <c r="D1043" s="3" t="inlineStr">
        <is>
          <t>Taibah University</t>
        </is>
      </c>
      <c r="E1043" s="3" t="inlineStr">
        <is>
          <t>جامعة طيبة</t>
        </is>
      </c>
      <c r="F1043" s="3" t="inlineStr">
        <is>
          <t>https://www.taibahu.edu.sa</t>
        </is>
      </c>
      <c r="G1043" s="3" t="inlineStr">
        <is>
          <t>QS2027: 1201–1400</t>
        </is>
      </c>
      <c r="H1043" s="3" t="inlineStr">
        <is>
          <t>THE2027: 1001–1200</t>
        </is>
      </c>
      <c r="I1043" s="3" t="inlineStr"/>
      <c r="J1043" s="4" t="inlineStr">
        <is>
          <t>1201–1400</t>
        </is>
      </c>
      <c r="K1043" s="4" t="inlineStr">
        <is>
          <t>1001–1200</t>
        </is>
      </c>
      <c r="L1043" s="4" t="inlineStr">
        <is>
          <t>1432</t>
        </is>
      </c>
      <c r="M1043" s="4" t="inlineStr">
        <is>
          <t>нет общенационального рейтинга</t>
        </is>
      </c>
      <c r="N1043" s="4" t="inlineStr">
        <is>
          <t>—</t>
        </is>
      </c>
      <c r="O104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43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4">
      <c r="A1044" s="3" t="inlineStr">
        <is>
          <t>Saudi Arabia|Taif University</t>
        </is>
      </c>
      <c r="B1044" s="3" t="inlineStr">
        <is>
          <t>Saudi Arabia</t>
        </is>
      </c>
      <c r="C1044" s="3" t="inlineStr">
        <is>
          <t>Таиф</t>
        </is>
      </c>
      <c r="D1044" s="3" t="inlineStr">
        <is>
          <t>Taif University</t>
        </is>
      </c>
      <c r="E1044" s="3" t="inlineStr">
        <is>
          <t>جامعة الطائف</t>
        </is>
      </c>
      <c r="F1044" s="3" t="inlineStr">
        <is>
          <t>https://www.tu.edu.sa</t>
        </is>
      </c>
      <c r="G1044" s="3" t="inlineStr">
        <is>
          <t>QS2027: 851–900</t>
        </is>
      </c>
      <c r="H1044" s="3" t="inlineStr">
        <is>
          <t>THE2027: 701–800</t>
        </is>
      </c>
      <c r="I1044" s="3" t="inlineStr"/>
      <c r="J1044" s="4" t="inlineStr">
        <is>
          <t>851–900</t>
        </is>
      </c>
      <c r="K1044" s="4" t="inlineStr">
        <is>
          <t>701–800</t>
        </is>
      </c>
      <c r="L1044" s="4" t="inlineStr">
        <is>
          <t>919</t>
        </is>
      </c>
      <c r="M1044" s="4" t="inlineStr">
        <is>
          <t>нет общенационального рейтинга</t>
        </is>
      </c>
      <c r="N1044" s="4" t="inlineStr">
        <is>
          <t>—</t>
        </is>
      </c>
      <c r="O104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44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5">
      <c r="A1045" s="3" t="inlineStr">
        <is>
          <t>Saudi Arabia|Umm Al-Qura University</t>
        </is>
      </c>
      <c r="B1045" s="3" t="inlineStr">
        <is>
          <t>Saudi Arabia</t>
        </is>
      </c>
      <c r="C1045" s="3" t="inlineStr">
        <is>
          <t>Мекка</t>
        </is>
      </c>
      <c r="D1045" s="3" t="inlineStr">
        <is>
          <t>Umm Al-Qura University</t>
        </is>
      </c>
      <c r="E1045" s="3" t="inlineStr">
        <is>
          <t>جامعة أم القرى</t>
        </is>
      </c>
      <c r="F1045" s="3" t="inlineStr">
        <is>
          <t>https://uqu.edu.sa</t>
        </is>
      </c>
      <c r="G1045" s="3" t="inlineStr">
        <is>
          <t>QS2027: 741–750</t>
        </is>
      </c>
      <c r="H1045" s="3" t="inlineStr">
        <is>
          <t>THE2027: 451–500</t>
        </is>
      </c>
      <c r="I1045" s="3" t="inlineStr"/>
      <c r="J1045" s="4" t="inlineStr">
        <is>
          <t>741–750</t>
        </is>
      </c>
      <c r="K1045" s="4" t="inlineStr">
        <is>
          <t>451–500</t>
        </is>
      </c>
      <c r="L1045" s="4" t="inlineStr">
        <is>
          <t>836</t>
        </is>
      </c>
      <c r="M1045" s="4" t="inlineStr">
        <is>
          <t>нет общенационального рейтинга</t>
        </is>
      </c>
      <c r="N1045" s="4" t="inlineStr">
        <is>
          <t>—</t>
        </is>
      </c>
      <c r="O104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45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6">
      <c r="A1046" s="3" t="inlineStr">
        <is>
          <t>Saudi Arabia|University of Bisha</t>
        </is>
      </c>
      <c r="B1046" s="3" t="inlineStr">
        <is>
          <t>Saudi Arabia</t>
        </is>
      </c>
      <c r="C1046" s="3" t="inlineStr">
        <is>
          <t>Биша</t>
        </is>
      </c>
      <c r="D1046" s="3" t="inlineStr">
        <is>
          <t>University of Bisha</t>
        </is>
      </c>
      <c r="E1046" s="3" t="inlineStr">
        <is>
          <t>جامعة بيشة</t>
        </is>
      </c>
      <c r="F1046" s="3" t="inlineStr">
        <is>
          <t>https://www.ub.edu.sa</t>
        </is>
      </c>
      <c r="G1046" s="3" t="inlineStr"/>
      <c r="H1046" s="3" t="inlineStr">
        <is>
          <t>THE2027: 1201–1400</t>
        </is>
      </c>
      <c r="I1046" s="3" t="inlineStr"/>
      <c r="J1046" s="4" t="inlineStr">
        <is>
          <t>не в рейтинге</t>
        </is>
      </c>
      <c r="K1046" s="4" t="inlineStr">
        <is>
          <t>1201–1400</t>
        </is>
      </c>
      <c r="L1046" s="4" t="inlineStr">
        <is>
          <t>нет в опубл. списке (опубликован только топ-15 страны)</t>
        </is>
      </c>
      <c r="M1046" s="4" t="inlineStr">
        <is>
          <t>нет общенационального рейтинга</t>
        </is>
      </c>
      <c r="N1046" s="4" t="inlineStr">
        <is>
          <t>—</t>
        </is>
      </c>
      <c r="O1046" s="4" t="inlineStr">
        <is>
          <t>https://www.timeshighereducation.com/world-university-rankings/2027/world-ranking</t>
        </is>
      </c>
      <c r="P1046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7">
      <c r="A1047" s="3" t="inlineStr">
        <is>
          <t>Saudi Arabia|University of Business and Technology</t>
        </is>
      </c>
      <c r="B1047" s="3" t="inlineStr">
        <is>
          <t>Saudi Arabia</t>
        </is>
      </c>
      <c r="C1047" s="3" t="inlineStr">
        <is>
          <t>Джидда</t>
        </is>
      </c>
      <c r="D1047" s="3" t="inlineStr">
        <is>
          <t>University of Business and Technology</t>
        </is>
      </c>
      <c r="E1047" s="3" t="inlineStr">
        <is>
          <t>جامعة الأعمال والتكنولوجيا</t>
        </is>
      </c>
      <c r="F1047" s="3" t="inlineStr">
        <is>
          <t>https://www.ubt.edu.sa</t>
        </is>
      </c>
      <c r="G1047" s="3" t="inlineStr"/>
      <c r="H1047" s="3" t="inlineStr">
        <is>
          <t>THE2027: Reporter (unranked)</t>
        </is>
      </c>
      <c r="I1047" s="3" t="inlineStr"/>
      <c r="J1047" s="4" t="inlineStr">
        <is>
          <t>не в рейтинге</t>
        </is>
      </c>
      <c r="K1047" s="4" t="inlineStr">
        <is>
          <t>Reporter</t>
        </is>
      </c>
      <c r="L1047" s="4" t="inlineStr">
        <is>
          <t>нет в опубл. списке (опубликован только топ-15 страны)</t>
        </is>
      </c>
      <c r="M1047" s="4" t="inlineStr">
        <is>
          <t>нет общенационального рейтинга</t>
        </is>
      </c>
      <c r="N1047" s="4" t="inlineStr">
        <is>
          <t>—</t>
        </is>
      </c>
      <c r="O1047" s="4" t="inlineStr">
        <is>
          <t>https://www.timeshighereducation.com/world-university-rankings/2027/world-ranking</t>
        </is>
      </c>
      <c r="P1047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8">
      <c r="A1048" s="3" t="inlineStr">
        <is>
          <t>Saudi Arabia|University of Ha'il</t>
        </is>
      </c>
      <c r="B1048" s="3" t="inlineStr">
        <is>
          <t>Saudi Arabia</t>
        </is>
      </c>
      <c r="C1048" s="3" t="inlineStr">
        <is>
          <t>Хаиль</t>
        </is>
      </c>
      <c r="D1048" s="3" t="inlineStr">
        <is>
          <t>University of Ha'il</t>
        </is>
      </c>
      <c r="E1048" s="3" t="inlineStr">
        <is>
          <t>جامعة حائل</t>
        </is>
      </c>
      <c r="F1048" s="3" t="inlineStr">
        <is>
          <t>https://www.uoh.edu.sa</t>
        </is>
      </c>
      <c r="G1048" s="3" t="inlineStr">
        <is>
          <t>QS2027: 1001–1200</t>
        </is>
      </c>
      <c r="H1048" s="3" t="inlineStr">
        <is>
          <t>THE2027: 701–800</t>
        </is>
      </c>
      <c r="I1048" s="3" t="inlineStr"/>
      <c r="J1048" s="4" t="inlineStr">
        <is>
          <t>1001–1200</t>
        </is>
      </c>
      <c r="K1048" s="4" t="inlineStr">
        <is>
          <t>701–800</t>
        </is>
      </c>
      <c r="L1048" s="4" t="inlineStr">
        <is>
          <t>нет в опубл. списке (опубликован только топ-15 страны)</t>
        </is>
      </c>
      <c r="M1048" s="4" t="inlineStr">
        <is>
          <t>нет общенационального рейтинга</t>
        </is>
      </c>
      <c r="N1048" s="4" t="inlineStr">
        <is>
          <t>—</t>
        </is>
      </c>
      <c r="O1048" s="4" t="inlineStr">
        <is>
          <t>https://www.topuniversities.com/world-university-rankings (QS WUR 2027)
https://www.timeshighereducation.com/world-university-rankings/2027/world-ranking</t>
        </is>
      </c>
      <c r="P1048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49">
      <c r="A1049" s="3" t="inlineStr">
        <is>
          <t>Saudi Arabia|University of Hafr Al Batin</t>
        </is>
      </c>
      <c r="B1049" s="3" t="inlineStr">
        <is>
          <t>Saudi Arabia</t>
        </is>
      </c>
      <c r="C1049" s="3" t="inlineStr">
        <is>
          <t>Хафр-эль-Батин</t>
        </is>
      </c>
      <c r="D1049" s="3" t="inlineStr">
        <is>
          <t>University of Hafr Al Batin</t>
        </is>
      </c>
      <c r="E1049" s="3" t="inlineStr">
        <is>
          <t>جامعة حفر الباطن</t>
        </is>
      </c>
      <c r="F1049" s="3" t="inlineStr">
        <is>
          <t>https://www.uhb.edu.sa</t>
        </is>
      </c>
      <c r="G1049" s="3" t="inlineStr"/>
      <c r="H1049" s="3" t="inlineStr">
        <is>
          <t>THE2027: 1001–1200</t>
        </is>
      </c>
      <c r="I1049" s="3" t="inlineStr"/>
      <c r="J1049" s="4" t="inlineStr">
        <is>
          <t>не в рейтинге</t>
        </is>
      </c>
      <c r="K1049" s="4" t="inlineStr">
        <is>
          <t>1001–1200</t>
        </is>
      </c>
      <c r="L1049" s="4" t="inlineStr">
        <is>
          <t>нет в опубл. списке (опубликован только топ-15 страны)</t>
        </is>
      </c>
      <c r="M1049" s="4" t="inlineStr">
        <is>
          <t>нет общенационального рейтинга</t>
        </is>
      </c>
      <c r="N1049" s="4" t="inlineStr">
        <is>
          <t>—</t>
        </is>
      </c>
      <c r="O1049" s="4" t="inlineStr">
        <is>
          <t>https://www.timeshighereducation.com/world-university-rankings/2027/world-ranking</t>
        </is>
      </c>
      <c r="P1049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50">
      <c r="A1050" s="3" t="inlineStr">
        <is>
          <t>Saudi Arabia|University of Jeddah</t>
        </is>
      </c>
      <c r="B1050" s="3" t="inlineStr">
        <is>
          <t>Saudi Arabia</t>
        </is>
      </c>
      <c r="C1050" s="3" t="inlineStr">
        <is>
          <t>Джидда</t>
        </is>
      </c>
      <c r="D1050" s="3" t="inlineStr">
        <is>
          <t>University of Jeddah</t>
        </is>
      </c>
      <c r="E1050" s="3" t="inlineStr">
        <is>
          <t>جامعة جدة</t>
        </is>
      </c>
      <c r="F1050" s="3" t="inlineStr">
        <is>
          <t>https://www.uj.edu.sa</t>
        </is>
      </c>
      <c r="G1050" s="3" t="inlineStr"/>
      <c r="H1050" s="3" t="inlineStr">
        <is>
          <t>THE2027: 1001–1200</t>
        </is>
      </c>
      <c r="I1050" s="3" t="inlineStr"/>
      <c r="J1050" s="4" t="inlineStr">
        <is>
          <t>не в рейтинге</t>
        </is>
      </c>
      <c r="K1050" s="4" t="inlineStr">
        <is>
          <t>1001–1200</t>
        </is>
      </c>
      <c r="L1050" s="4" t="inlineStr">
        <is>
          <t>нет в опубл. списке (опубликован только топ-15 страны)</t>
        </is>
      </c>
      <c r="M1050" s="4" t="inlineStr">
        <is>
          <t>нет общенационального рейтинга</t>
        </is>
      </c>
      <c r="N1050" s="4" t="inlineStr">
        <is>
          <t>—</t>
        </is>
      </c>
      <c r="O1050" s="4" t="inlineStr">
        <is>
          <t>https://www.timeshighereducation.com/world-university-rankings/2027/world-ranking</t>
        </is>
      </c>
      <c r="P1050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51">
      <c r="A1051" s="3" t="inlineStr">
        <is>
          <t>Saudi Arabia|University of Prince Mugrin (UPM)</t>
        </is>
      </c>
      <c r="B1051" s="3" t="inlineStr">
        <is>
          <t>Saudi Arabia</t>
        </is>
      </c>
      <c r="C1051" s="3" t="inlineStr">
        <is>
          <t>Медина</t>
        </is>
      </c>
      <c r="D1051" s="3" t="inlineStr">
        <is>
          <t>University of Prince Mugrin (UPM)</t>
        </is>
      </c>
      <c r="E1051" s="3" t="inlineStr">
        <is>
          <t>جامعة الأمير مقرن بن عبدالعزيز</t>
        </is>
      </c>
      <c r="F1051" s="3" t="inlineStr">
        <is>
          <t>https://www.upm.edu.sa</t>
        </is>
      </c>
      <c r="G1051" s="3" t="inlineStr"/>
      <c r="H1051" s="3" t="inlineStr"/>
      <c r="I1051" s="3" t="inlineStr"/>
      <c r="J1051" s="4" t="inlineStr">
        <is>
          <t>не в рейтинге</t>
        </is>
      </c>
      <c r="K1051" s="4" t="inlineStr">
        <is>
          <t>не в рейтинге</t>
        </is>
      </c>
      <c r="L1051" s="4" t="inlineStr">
        <is>
          <t>нет в опубл. списке (опубликован только топ-15 страны)</t>
        </is>
      </c>
      <c r="M1051" s="4" t="inlineStr">
        <is>
          <t>нет общенационального рейтинга</t>
        </is>
      </c>
      <c r="N1051" s="4" t="inlineStr">
        <is>
          <t>—</t>
        </is>
      </c>
      <c r="O1051" s="4" t="n"/>
      <c r="P1051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52">
      <c r="A1052" s="3" t="inlineStr">
        <is>
          <t>Saudi Arabia|University of Tabuk</t>
        </is>
      </c>
      <c r="B1052" s="3" t="inlineStr">
        <is>
          <t>Saudi Arabia</t>
        </is>
      </c>
      <c r="C1052" s="3" t="inlineStr">
        <is>
          <t>Табук</t>
        </is>
      </c>
      <c r="D1052" s="3" t="inlineStr">
        <is>
          <t>University of Tabuk</t>
        </is>
      </c>
      <c r="E1052" s="3" t="inlineStr">
        <is>
          <t>جامعة تبوك</t>
        </is>
      </c>
      <c r="F1052" s="3" t="inlineStr">
        <is>
          <t>https://www.ut.edu.sa</t>
        </is>
      </c>
      <c r="G1052" s="3" t="inlineStr">
        <is>
          <t>QS2027: 1001–1200</t>
        </is>
      </c>
      <c r="H1052" s="3" t="inlineStr">
        <is>
          <t>THE2027: 651–700</t>
        </is>
      </c>
      <c r="I1052" s="3" t="inlineStr"/>
      <c r="J1052" s="4" t="inlineStr">
        <is>
          <t>1001–1200</t>
        </is>
      </c>
      <c r="K1052" s="4" t="inlineStr">
        <is>
          <t>651–700</t>
        </is>
      </c>
      <c r="L1052" s="4" t="inlineStr">
        <is>
          <t>нет в опубл. списке (опубликован только топ-15 страны)</t>
        </is>
      </c>
      <c r="M1052" s="4" t="inlineStr">
        <is>
          <t>нет общенационального рейтинга</t>
        </is>
      </c>
      <c r="N1052" s="4" t="inlineStr">
        <is>
          <t>—</t>
        </is>
      </c>
      <c r="O1052" s="4" t="inlineStr">
        <is>
          <t>https://www.topuniversities.com/world-university-rankings (QS WUR 2027)
https://www.timeshighereducation.com/world-university-rankings/2027/world-ranking</t>
        </is>
      </c>
      <c r="P1052" s="4" t="inlineStr">
        <is>
          <t>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нет.</t>
        </is>
      </c>
    </row>
    <row r="1053">
      <c r="A1053" s="3" t="inlineStr">
        <is>
          <t>South Africa|African Institute for Mathematical Sciences (AIMS South Africa)</t>
        </is>
      </c>
      <c r="B1053" s="3" t="inlineStr">
        <is>
          <t>South Africa</t>
        </is>
      </c>
      <c r="C1053" s="3" t="inlineStr">
        <is>
          <t>Кейптаун</t>
        </is>
      </c>
      <c r="D1053" s="3" t="inlineStr">
        <is>
          <t>African Institute for Mathematical Sciences (AIMS South Africa)</t>
        </is>
      </c>
      <c r="E1053" s="3" t="inlineStr">
        <is>
          <t>African Institute for Mathematical Sciences (AIMS South Africa)</t>
        </is>
      </c>
      <c r="F1053" s="3" t="inlineStr">
        <is>
          <t>https://aims.ac.za</t>
        </is>
      </c>
      <c r="G1053" s="3" t="inlineStr"/>
      <c r="H1053" s="3" t="inlineStr"/>
      <c r="I1053" s="3" t="inlineStr"/>
      <c r="J1053" s="4" t="inlineStr">
        <is>
          <t>не в рейтинге</t>
        </is>
      </c>
      <c r="K1053" s="4" t="inlineStr">
        <is>
          <t>не в рейтинге</t>
        </is>
      </c>
      <c r="L1053" s="4" t="inlineStr">
        <is>
          <t>нет в опубл. списке (опубликован только топ-15 страны)</t>
        </is>
      </c>
      <c r="M1053" s="4" t="inlineStr">
        <is>
          <t>нет общенационального рейтинга</t>
        </is>
      </c>
      <c r="N1053" s="4" t="inlineStr">
        <is>
          <t>—</t>
        </is>
      </c>
      <c r="O1053" s="4" t="n"/>
      <c r="P1053" s="4" t="inlineStr">
        <is>
          <t>Национального рейтинга нет: DHET и CHE вузы не ранжируют.</t>
        </is>
      </c>
    </row>
    <row r="1054">
      <c r="A1054" s="3" t="inlineStr">
        <is>
          <t>South Africa|Cape Peninsula University of Technology</t>
        </is>
      </c>
      <c r="B1054" s="3" t="inlineStr">
        <is>
          <t>South Africa</t>
        </is>
      </c>
      <c r="C1054" s="3" t="inlineStr">
        <is>
          <t>Кейптаун</t>
        </is>
      </c>
      <c r="D1054" s="3" t="inlineStr">
        <is>
          <t>Cape Peninsula University of Technology</t>
        </is>
      </c>
      <c r="E1054" s="3" t="inlineStr">
        <is>
          <t>Cape Peninsula University of Technology</t>
        </is>
      </c>
      <c r="F1054" s="3" t="inlineStr">
        <is>
          <t>https://www.cput.ac.za</t>
        </is>
      </c>
      <c r="G1054" s="3" t="inlineStr"/>
      <c r="H1054" s="3" t="inlineStr"/>
      <c r="I1054" s="3" t="inlineStr"/>
      <c r="J1054" s="4" t="inlineStr">
        <is>
          <t>не в рейтинге</t>
        </is>
      </c>
      <c r="K1054" s="4" t="inlineStr">
        <is>
          <t>не в рейтинге</t>
        </is>
      </c>
      <c r="L1054" s="4" t="inlineStr">
        <is>
          <t>1986</t>
        </is>
      </c>
      <c r="M1054" s="4" t="inlineStr">
        <is>
          <t>нет общенационального рейтинга</t>
        </is>
      </c>
      <c r="N1054" s="4" t="inlineStr">
        <is>
          <t>—</t>
        </is>
      </c>
      <c r="O1054" s="4" t="inlineStr">
        <is>
          <t>https://figshare.com/articles/preprint/Ranking_Web_of_Universities_webometrics_info_July_2026_edition/33062150</t>
        </is>
      </c>
      <c r="P1054" s="4" t="inlineStr">
        <is>
          <t>Национального рейтинга нет: DHET и CHE вузы не ранжируют.</t>
        </is>
      </c>
    </row>
    <row r="1055">
      <c r="A1055" s="3" t="inlineStr">
        <is>
          <t>South Africa|Central University of Technology, Free State</t>
        </is>
      </c>
      <c r="B1055" s="3" t="inlineStr">
        <is>
          <t>South Africa</t>
        </is>
      </c>
      <c r="C1055" s="3" t="inlineStr">
        <is>
          <t>Блумфонтейн</t>
        </is>
      </c>
      <c r="D1055" s="3" t="inlineStr">
        <is>
          <t>Central University of Technology, Free State</t>
        </is>
      </c>
      <c r="E1055" s="3" t="inlineStr">
        <is>
          <t>Central University of Technology, Free State</t>
        </is>
      </c>
      <c r="F1055" s="3" t="inlineStr">
        <is>
          <t>https://www.cut.ac.za</t>
        </is>
      </c>
      <c r="G1055" s="3" t="inlineStr"/>
      <c r="H1055" s="3" t="inlineStr"/>
      <c r="I1055" s="3" t="inlineStr"/>
      <c r="J1055" s="4" t="inlineStr">
        <is>
          <t>не в рейтинге</t>
        </is>
      </c>
      <c r="K1055" s="4" t="inlineStr">
        <is>
          <t>не в рейтинге</t>
        </is>
      </c>
      <c r="L1055" s="4" t="inlineStr">
        <is>
          <t>нет в опубл. списке (опубликован только топ-15 страны)</t>
        </is>
      </c>
      <c r="M1055" s="4" t="inlineStr">
        <is>
          <t>нет общенационального рейтинга</t>
        </is>
      </c>
      <c r="N1055" s="4" t="inlineStr">
        <is>
          <t>—</t>
        </is>
      </c>
      <c r="O1055" s="4" t="n"/>
      <c r="P1055" s="4" t="inlineStr">
        <is>
          <t>Национального рейтинга нет: DHET и CHE вузы не ранжируют.</t>
        </is>
      </c>
    </row>
    <row r="1056">
      <c r="A1056" s="3" t="inlineStr">
        <is>
          <t>South Africa|Council for Scientific and Industrial Research (CSIR)</t>
        </is>
      </c>
      <c r="B1056" s="3" t="inlineStr">
        <is>
          <t>South Africa</t>
        </is>
      </c>
      <c r="C1056" s="3" t="inlineStr">
        <is>
          <t>Претория</t>
        </is>
      </c>
      <c r="D1056" s="3" t="inlineStr">
        <is>
          <t>Council for Scientific and Industrial Research (CSIR)</t>
        </is>
      </c>
      <c r="E1056" s="3" t="inlineStr">
        <is>
          <t>Council for Scientific and Industrial Research (CSIR)</t>
        </is>
      </c>
      <c r="F1056" s="3" t="inlineStr">
        <is>
          <t>https://www.csir.co.za</t>
        </is>
      </c>
      <c r="G1056" s="3" t="inlineStr"/>
      <c r="H1056" s="3" t="inlineStr"/>
      <c r="I1056" s="3" t="inlineStr"/>
      <c r="J1056" s="4" t="inlineStr">
        <is>
          <t>не в рейтинге</t>
        </is>
      </c>
      <c r="K1056" s="4" t="inlineStr">
        <is>
          <t>не в рейтинге</t>
        </is>
      </c>
      <c r="L1056" s="4" t="inlineStr">
        <is>
          <t>нет в опубл. списке (опубликован только топ-15 страны)</t>
        </is>
      </c>
      <c r="M1056" s="4" t="inlineStr">
        <is>
          <t>нет общенационального рейтинга</t>
        </is>
      </c>
      <c r="N1056" s="4" t="inlineStr">
        <is>
          <t>—</t>
        </is>
      </c>
      <c r="O1056" s="4" t="n"/>
      <c r="P1056" s="4" t="inlineStr">
        <is>
          <t>Национального рейтинга нет: DHET и CHE вузы не ранжируют.</t>
        </is>
      </c>
    </row>
    <row r="1057">
      <c r="A1057" s="3" t="inlineStr">
        <is>
          <t>South Africa|Durban University of Technology</t>
        </is>
      </c>
      <c r="B1057" s="3" t="inlineStr">
        <is>
          <t>South Africa</t>
        </is>
      </c>
      <c r="C1057" s="3" t="inlineStr">
        <is>
          <t>Дурбан</t>
        </is>
      </c>
      <c r="D1057" s="3" t="inlineStr">
        <is>
          <t>Durban University of Technology</t>
        </is>
      </c>
      <c r="E1057" s="3" t="inlineStr">
        <is>
          <t>Durban University of Technology</t>
        </is>
      </c>
      <c r="F1057" s="3" t="inlineStr">
        <is>
          <t>https://www.dut.ac.za</t>
        </is>
      </c>
      <c r="G1057" s="3" t="inlineStr"/>
      <c r="H1057" s="3" t="inlineStr">
        <is>
          <t>THE2027: 1201–1400</t>
        </is>
      </c>
      <c r="I1057" s="3" t="inlineStr"/>
      <c r="J1057" s="4" t="inlineStr">
        <is>
          <t>не в рейтинге</t>
        </is>
      </c>
      <c r="K1057" s="4" t="inlineStr">
        <is>
          <t>1201–1400</t>
        </is>
      </c>
      <c r="L1057" s="4" t="inlineStr">
        <is>
          <t>1838</t>
        </is>
      </c>
      <c r="M1057" s="4" t="inlineStr">
        <is>
          <t>нет общенационального рейтинга</t>
        </is>
      </c>
      <c r="N1057" s="4" t="inlineStr">
        <is>
          <t>—</t>
        </is>
      </c>
      <c r="O1057" s="4" t="inlineStr">
        <is>
          <t>https://www.timeshighereducation.com/world-university-rankings/2027/world-ranking
https://figshare.com/articles/preprint/Ranking_Web_of_Universities_webometrics_info_July_2026_edition/33062150</t>
        </is>
      </c>
      <c r="P1057" s="4" t="inlineStr">
        <is>
          <t>Национального рейтинга нет: DHET и CHE вузы не ранжируют.</t>
        </is>
      </c>
    </row>
    <row r="1058">
      <c r="A1058" s="3" t="inlineStr">
        <is>
          <t>South Africa|Emeris (formerly IIE MSA / Monash South Africa) — The Independent Institute of Education, Ruimsig Johannesburg campus</t>
        </is>
      </c>
      <c r="B1058" s="3" t="inlineStr">
        <is>
          <t>South Africa</t>
        </is>
      </c>
      <c r="C1058" s="3" t="inlineStr">
        <is>
          <t>Йоханнесбург (Руймсиг, Рудепорт)</t>
        </is>
      </c>
      <c r="D1058" s="3" t="inlineStr">
        <is>
          <t>Emeris (formerly IIE MSA / Monash South Africa) — The Independent Institute of Education, Ruimsig Johannesburg campus</t>
        </is>
      </c>
      <c r="E1058" s="3" t="inlineStr">
        <is>
          <t>Emeris, The Independent Institute of Education (Pty) Ltd</t>
        </is>
      </c>
      <c r="F1058" s="3" t="inlineStr">
        <is>
          <t>https://www.emeris.ac.za</t>
        </is>
      </c>
      <c r="G1058" s="3" t="inlineStr"/>
      <c r="H1058" s="3" t="inlineStr"/>
      <c r="I1058" s="3" t="inlineStr"/>
      <c r="J1058" s="4" t="inlineStr">
        <is>
          <t>не в рейтинге</t>
        </is>
      </c>
      <c r="K1058" s="4" t="inlineStr">
        <is>
          <t>не в рейтинге</t>
        </is>
      </c>
      <c r="L1058" s="4" t="inlineStr">
        <is>
          <t>нет в опубл. списке (опубликован только топ-15 страны)</t>
        </is>
      </c>
      <c r="M1058" s="4" t="inlineStr">
        <is>
          <t>нет общенационального рейтинга</t>
        </is>
      </c>
      <c r="N1058" s="4" t="inlineStr">
        <is>
          <t>—</t>
        </is>
      </c>
      <c r="O1058" s="4" t="n"/>
      <c r="P1058" s="4" t="inlineStr">
        <is>
          <t>Национального рейтинга нет: DHET и CHE вузы не ранжируют.</t>
        </is>
      </c>
    </row>
    <row r="1059">
      <c r="A1059" s="3" t="inlineStr">
        <is>
          <t>South Africa|Mangosuthu University of Technology</t>
        </is>
      </c>
      <c r="B1059" s="3" t="inlineStr">
        <is>
          <t>South Africa</t>
        </is>
      </c>
      <c r="C1059" s="3" t="inlineStr">
        <is>
          <t>Дурбан (Умлази)</t>
        </is>
      </c>
      <c r="D1059" s="3" t="inlineStr">
        <is>
          <t>Mangosuthu University of Technology</t>
        </is>
      </c>
      <c r="E1059" s="3" t="inlineStr">
        <is>
          <t>Mangosuthu University of Technology</t>
        </is>
      </c>
      <c r="F1059" s="3" t="inlineStr">
        <is>
          <t>https://www.mut.ac.za</t>
        </is>
      </c>
      <c r="G1059" s="3" t="inlineStr"/>
      <c r="H1059" s="3" t="inlineStr"/>
      <c r="I1059" s="3" t="inlineStr"/>
      <c r="J1059" s="4" t="inlineStr">
        <is>
          <t>не в рейтинге</t>
        </is>
      </c>
      <c r="K1059" s="4" t="inlineStr">
        <is>
          <t>не в рейтинге</t>
        </is>
      </c>
      <c r="L1059" s="4" t="inlineStr">
        <is>
          <t>нет в опубл. списке (опубликован только топ-15 страны)</t>
        </is>
      </c>
      <c r="M1059" s="4" t="inlineStr">
        <is>
          <t>нет общенационального рейтинга</t>
        </is>
      </c>
      <c r="N1059" s="4" t="inlineStr">
        <is>
          <t>—</t>
        </is>
      </c>
      <c r="O1059" s="4" t="n"/>
      <c r="P1059" s="4" t="inlineStr">
        <is>
          <t>Национального рейтинга нет: DHET и CHE вузы не ранжируют.</t>
        </is>
      </c>
    </row>
    <row r="1060">
      <c r="A1060" s="3" t="inlineStr">
        <is>
          <t>South Africa|Nelson Mandela University</t>
        </is>
      </c>
      <c r="B1060" s="3" t="inlineStr">
        <is>
          <t>South Africa</t>
        </is>
      </c>
      <c r="C1060" s="3" t="inlineStr">
        <is>
          <t>Гкеберха (Порт-Элизабет)</t>
        </is>
      </c>
      <c r="D1060" s="3" t="inlineStr">
        <is>
          <t>Nelson Mandela University</t>
        </is>
      </c>
      <c r="E1060" s="3" t="inlineStr">
        <is>
          <t>Nelson Mandela University</t>
        </is>
      </c>
      <c r="F1060" s="3" t="inlineStr">
        <is>
          <t>https://www.mandela.ac.za</t>
        </is>
      </c>
      <c r="G1060" s="3" t="inlineStr"/>
      <c r="H1060" s="3" t="inlineStr">
        <is>
          <t>THE2027: 1401–1600</t>
        </is>
      </c>
      <c r="I1060" s="3" t="inlineStr"/>
      <c r="J1060" s="4" t="inlineStr">
        <is>
          <t>1401+</t>
        </is>
      </c>
      <c r="K1060" s="4" t="inlineStr">
        <is>
          <t>1401–1600</t>
        </is>
      </c>
      <c r="L1060" s="4" t="inlineStr">
        <is>
          <t>1853</t>
        </is>
      </c>
      <c r="M1060" s="4" t="inlineStr">
        <is>
          <t>нет общенационального рейтинга</t>
        </is>
      </c>
      <c r="N1060" s="4" t="inlineStr">
        <is>
          <t>—</t>
        </is>
      </c>
      <c r="O106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60" s="4" t="inlineStr">
        <is>
          <t>Национального рейтинга нет: DHET и CHE вузы не ранжируют.</t>
        </is>
      </c>
    </row>
    <row r="1061">
      <c r="A1061" s="3" t="inlineStr">
        <is>
          <t>South Africa|North-West University</t>
        </is>
      </c>
      <c r="B1061" s="3" t="inlineStr">
        <is>
          <t>South Africa</t>
        </is>
      </c>
      <c r="C1061" s="3" t="inlineStr">
        <is>
          <t>Потчефструм</t>
        </is>
      </c>
      <c r="D1061" s="3" t="inlineStr">
        <is>
          <t>North-West University</t>
        </is>
      </c>
      <c r="E1061" s="3" t="inlineStr">
        <is>
          <t>North-West University</t>
        </is>
      </c>
      <c r="F1061" s="3" t="inlineStr">
        <is>
          <t>https://www.nwu.ac.za</t>
        </is>
      </c>
      <c r="G1061" s="3" t="inlineStr"/>
      <c r="H1061" s="3" t="inlineStr">
        <is>
          <t>THE2027: 801–1000</t>
        </is>
      </c>
      <c r="I1061" s="3" t="inlineStr"/>
      <c r="J1061" s="4" t="inlineStr">
        <is>
          <t>1001–1200</t>
        </is>
      </c>
      <c r="K1061" s="4" t="inlineStr">
        <is>
          <t>801–1000</t>
        </is>
      </c>
      <c r="L1061" s="4" t="inlineStr">
        <is>
          <t>867</t>
        </is>
      </c>
      <c r="M1061" s="4" t="inlineStr">
        <is>
          <t>нет общенационального рейтинга</t>
        </is>
      </c>
      <c r="N1061" s="4" t="inlineStr">
        <is>
          <t>—</t>
        </is>
      </c>
      <c r="O106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61" s="4" t="inlineStr">
        <is>
          <t>Национального рейтинга нет: DHET и CHE вузы не ранжируют.</t>
        </is>
      </c>
    </row>
    <row r="1062">
      <c r="A1062" s="3" t="inlineStr">
        <is>
          <t>South Africa|Rhodes University</t>
        </is>
      </c>
      <c r="B1062" s="3" t="inlineStr">
        <is>
          <t>South Africa</t>
        </is>
      </c>
      <c r="C1062" s="3" t="inlineStr">
        <is>
          <t>Маханда (Грэмстаун)</t>
        </is>
      </c>
      <c r="D1062" s="3" t="inlineStr">
        <is>
          <t>Rhodes University</t>
        </is>
      </c>
      <c r="E1062" s="3" t="inlineStr">
        <is>
          <t>Rhodes University</t>
        </is>
      </c>
      <c r="F1062" s="3" t="inlineStr">
        <is>
          <t>https://www.ru.ac.za</t>
        </is>
      </c>
      <c r="G1062" s="3" t="inlineStr">
        <is>
          <t>QS2027: 901-950</t>
        </is>
      </c>
      <c r="H1062" s="3" t="inlineStr"/>
      <c r="I1062" s="3" t="inlineStr"/>
      <c r="J1062" s="4" t="inlineStr">
        <is>
          <t>901–950</t>
        </is>
      </c>
      <c r="K1062" s="4" t="inlineStr">
        <is>
          <t>не в рейтинге</t>
        </is>
      </c>
      <c r="L1062" s="4" t="inlineStr">
        <is>
          <t>1336</t>
        </is>
      </c>
      <c r="M1062" s="4" t="inlineStr">
        <is>
          <t>нет общенационального рейтинга</t>
        </is>
      </c>
      <c r="N1062" s="4" t="inlineStr">
        <is>
          <t>—</t>
        </is>
      </c>
      <c r="O1062" s="4" t="inlineStr">
        <is>
          <t>https://www.topuniversities.com/world-university-rankings (QS WUR 2027)
https://figshare.com/articles/preprint/Ranking_Web_of_Universities_webometrics_info_July_2026_edition/33062150</t>
        </is>
      </c>
      <c r="P1062" s="4" t="inlineStr">
        <is>
          <t>Национального рейтинга нет: DHET и CHE вузы не ранжируют.</t>
        </is>
      </c>
    </row>
    <row r="1063">
      <c r="A1063" s="3" t="inlineStr">
        <is>
          <t>South Africa|STADIO Higher Education</t>
        </is>
      </c>
      <c r="B1063" s="3" t="inlineStr">
        <is>
          <t>South Africa</t>
        </is>
      </c>
      <c r="C1063" s="3" t="inlineStr">
        <is>
          <t>Кейптаун</t>
        </is>
      </c>
      <c r="D1063" s="3" t="inlineStr">
        <is>
          <t>STADIO Higher Education</t>
        </is>
      </c>
      <c r="E1063" s="3" t="inlineStr">
        <is>
          <t>STADIO Higher Education</t>
        </is>
      </c>
      <c r="F1063" s="3" t="inlineStr">
        <is>
          <t>https://www.stadio.ac.za</t>
        </is>
      </c>
      <c r="G1063" s="3" t="inlineStr"/>
      <c r="H1063" s="3" t="inlineStr"/>
      <c r="I1063" s="3" t="inlineStr"/>
      <c r="J1063" s="4" t="inlineStr">
        <is>
          <t>не в рейтинге</t>
        </is>
      </c>
      <c r="K1063" s="4" t="inlineStr">
        <is>
          <t>не в рейтинге</t>
        </is>
      </c>
      <c r="L1063" s="4" t="inlineStr">
        <is>
          <t>нет в опубл. списке (опубликован только топ-15 страны)</t>
        </is>
      </c>
      <c r="M1063" s="4" t="inlineStr">
        <is>
          <t>нет общенационального рейтинга</t>
        </is>
      </c>
      <c r="N1063" s="4" t="inlineStr">
        <is>
          <t>—</t>
        </is>
      </c>
      <c r="O1063" s="4" t="n"/>
      <c r="P1063" s="4" t="inlineStr">
        <is>
          <t>Национального рейтинга нет: DHET и CHE вузы не ранжируют.</t>
        </is>
      </c>
    </row>
    <row r="1064">
      <c r="A1064" s="3" t="inlineStr">
        <is>
          <t>South Africa|Sefako Makgatho Health Sciences University</t>
        </is>
      </c>
      <c r="B1064" s="3" t="inlineStr">
        <is>
          <t>South Africa</t>
        </is>
      </c>
      <c r="C1064" s="3" t="inlineStr">
        <is>
          <t>Претория (Га-Ранкува)</t>
        </is>
      </c>
      <c r="D1064" s="3" t="inlineStr">
        <is>
          <t>Sefako Makgatho Health Sciences University</t>
        </is>
      </c>
      <c r="E1064" s="3" t="inlineStr">
        <is>
          <t>Sefako Makgatho Health Sciences University</t>
        </is>
      </c>
      <c r="F1064" s="3" t="inlineStr">
        <is>
          <t>https://www.smu.ac.za</t>
        </is>
      </c>
      <c r="G1064" s="3" t="inlineStr"/>
      <c r="H1064" s="3" t="inlineStr">
        <is>
          <t>THE2027: 1401–1600</t>
        </is>
      </c>
      <c r="I1064" s="3" t="inlineStr"/>
      <c r="J1064" s="4" t="inlineStr">
        <is>
          <t>не в рейтинге</t>
        </is>
      </c>
      <c r="K1064" s="4" t="inlineStr">
        <is>
          <t>1401–1600</t>
        </is>
      </c>
      <c r="L1064" s="4" t="inlineStr">
        <is>
          <t>нет в опубл. списке (опубликован только топ-15 страны)</t>
        </is>
      </c>
      <c r="M1064" s="4" t="inlineStr">
        <is>
          <t>нет общенационального рейтинга</t>
        </is>
      </c>
      <c r="N1064" s="4" t="inlineStr">
        <is>
          <t>—</t>
        </is>
      </c>
      <c r="O1064" s="4" t="inlineStr">
        <is>
          <t>https://www.timeshighereducation.com/world-university-rankings/2027/world-ranking</t>
        </is>
      </c>
      <c r="P1064" s="4" t="inlineStr">
        <is>
          <t>Национального рейтинга нет: DHET и CHE вузы не ранжируют.</t>
        </is>
      </c>
    </row>
    <row r="1065">
      <c r="A1065" s="3" t="inlineStr">
        <is>
          <t>South Africa|Sol Plaatje University</t>
        </is>
      </c>
      <c r="B1065" s="3" t="inlineStr">
        <is>
          <t>South Africa</t>
        </is>
      </c>
      <c r="C1065" s="3" t="inlineStr">
        <is>
          <t>Кимберли</t>
        </is>
      </c>
      <c r="D1065" s="3" t="inlineStr">
        <is>
          <t>Sol Plaatje University</t>
        </is>
      </c>
      <c r="E1065" s="3" t="inlineStr">
        <is>
          <t>Sol Plaatje University</t>
        </is>
      </c>
      <c r="F1065" s="3" t="inlineStr">
        <is>
          <t>https://www.spu.ac.za</t>
        </is>
      </c>
      <c r="G1065" s="3" t="inlineStr"/>
      <c r="H1065" s="3" t="inlineStr"/>
      <c r="I1065" s="3" t="inlineStr"/>
      <c r="J1065" s="4" t="inlineStr">
        <is>
          <t>не в рейтинге</t>
        </is>
      </c>
      <c r="K1065" s="4" t="inlineStr">
        <is>
          <t>не в рейтинге</t>
        </is>
      </c>
      <c r="L1065" s="4" t="inlineStr">
        <is>
          <t>нет в опубл. списке (опубликован только топ-15 страны)</t>
        </is>
      </c>
      <c r="M1065" s="4" t="inlineStr">
        <is>
          <t>нет общенационального рейтинга</t>
        </is>
      </c>
      <c r="N1065" s="4" t="inlineStr">
        <is>
          <t>—</t>
        </is>
      </c>
      <c r="O1065" s="4" t="n"/>
      <c r="P1065" s="4" t="inlineStr">
        <is>
          <t>Национального рейтинга нет: DHET и CHE вузы не ранжируют.</t>
        </is>
      </c>
    </row>
    <row r="1066">
      <c r="A1066" s="3" t="inlineStr">
        <is>
          <t>South Africa|South African Astronomical Observatory (SAAO)</t>
        </is>
      </c>
      <c r="B1066" s="3" t="inlineStr">
        <is>
          <t>South Africa</t>
        </is>
      </c>
      <c r="C1066" s="3" t="inlineStr">
        <is>
          <t>Кейптаун</t>
        </is>
      </c>
      <c r="D1066" s="3" t="inlineStr">
        <is>
          <t>South African Astronomical Observatory (SAAO)</t>
        </is>
      </c>
      <c r="E1066" s="3" t="inlineStr">
        <is>
          <t>South African Astronomical Observatory</t>
        </is>
      </c>
      <c r="F1066" s="3" t="inlineStr">
        <is>
          <t>https://www.saao.ac.za</t>
        </is>
      </c>
      <c r="G1066" s="3" t="inlineStr"/>
      <c r="H1066" s="3" t="inlineStr"/>
      <c r="I1066" s="3" t="inlineStr"/>
      <c r="J1066" s="4" t="inlineStr">
        <is>
          <t>не в рейтинге</t>
        </is>
      </c>
      <c r="K1066" s="4" t="inlineStr">
        <is>
          <t>не в рейтинге</t>
        </is>
      </c>
      <c r="L1066" s="4" t="inlineStr">
        <is>
          <t>нет в опубл. списке (опубликован только топ-15 страны)</t>
        </is>
      </c>
      <c r="M1066" s="4" t="inlineStr">
        <is>
          <t>нет общенационального рейтинга</t>
        </is>
      </c>
      <c r="N1066" s="4" t="inlineStr">
        <is>
          <t>—</t>
        </is>
      </c>
      <c r="O1066" s="4" t="n"/>
      <c r="P1066" s="4" t="inlineStr">
        <is>
          <t>Национального рейтинга нет: DHET и CHE вузы не ранжируют.</t>
        </is>
      </c>
    </row>
    <row r="1067">
      <c r="A1067" s="3" t="inlineStr">
        <is>
          <t>South Africa|South African National Space Agency (SANSA)</t>
        </is>
      </c>
      <c r="B1067" s="3" t="inlineStr">
        <is>
          <t>South Africa</t>
        </is>
      </c>
      <c r="C1067" s="3" t="inlineStr">
        <is>
          <t>Претория</t>
        </is>
      </c>
      <c r="D1067" s="3" t="inlineStr">
        <is>
          <t>South African National Space Agency (SANSA)</t>
        </is>
      </c>
      <c r="E1067" s="3" t="inlineStr">
        <is>
          <t>South African National Space Agency</t>
        </is>
      </c>
      <c r="F1067" s="3" t="inlineStr">
        <is>
          <t>https://www.sansa.org.za</t>
        </is>
      </c>
      <c r="G1067" s="3" t="inlineStr"/>
      <c r="H1067" s="3" t="inlineStr"/>
      <c r="I1067" s="3" t="inlineStr"/>
      <c r="J1067" s="4" t="inlineStr">
        <is>
          <t>не в рейтинге</t>
        </is>
      </c>
      <c r="K1067" s="4" t="inlineStr">
        <is>
          <t>не в рейтинге</t>
        </is>
      </c>
      <c r="L1067" s="4" t="inlineStr">
        <is>
          <t>нет в опубл. списке (опубликован только топ-15 страны)</t>
        </is>
      </c>
      <c r="M1067" s="4" t="inlineStr">
        <is>
          <t>нет общенационального рейтинга</t>
        </is>
      </c>
      <c r="N1067" s="4" t="inlineStr">
        <is>
          <t>—</t>
        </is>
      </c>
      <c r="O1067" s="4" t="n"/>
      <c r="P1067" s="4" t="inlineStr">
        <is>
          <t>Национального рейтинга нет: DHET и CHE вузы не ранжируют.</t>
        </is>
      </c>
    </row>
    <row r="1068">
      <c r="A1068" s="3" t="inlineStr">
        <is>
          <t>South Africa|South African Radio Astronomy Observatory (SARAO)</t>
        </is>
      </c>
      <c r="B1068" s="3" t="inlineStr">
        <is>
          <t>South Africa</t>
        </is>
      </c>
      <c r="C1068" s="3" t="inlineStr">
        <is>
          <t>Кейптаун</t>
        </is>
      </c>
      <c r="D1068" s="3" t="inlineStr">
        <is>
          <t>South African Radio Astronomy Observatory (SARAO)</t>
        </is>
      </c>
      <c r="E1068" s="3" t="inlineStr">
        <is>
          <t>South African Radio Astronomy Observatory</t>
        </is>
      </c>
      <c r="F1068" s="3" t="inlineStr">
        <is>
          <t>https://www.sarao.ac.za</t>
        </is>
      </c>
      <c r="G1068" s="3" t="inlineStr"/>
      <c r="H1068" s="3" t="inlineStr"/>
      <c r="I1068" s="3" t="inlineStr"/>
      <c r="J1068" s="4" t="inlineStr">
        <is>
          <t>не в рейтинге</t>
        </is>
      </c>
      <c r="K1068" s="4" t="inlineStr">
        <is>
          <t>не в рейтинге</t>
        </is>
      </c>
      <c r="L1068" s="4" t="inlineStr">
        <is>
          <t>нет в опубл. списке (опубликован только топ-15 страны)</t>
        </is>
      </c>
      <c r="M1068" s="4" t="inlineStr">
        <is>
          <t>нет общенационального рейтинга</t>
        </is>
      </c>
      <c r="N1068" s="4" t="inlineStr">
        <is>
          <t>—</t>
        </is>
      </c>
      <c r="O1068" s="4" t="n"/>
      <c r="P1068" s="4" t="inlineStr">
        <is>
          <t>Национального рейтинга нет: DHET и CHE вузы не ранжируют.</t>
        </is>
      </c>
    </row>
    <row r="1069">
      <c r="A1069" s="3" t="inlineStr">
        <is>
          <t>South Africa|Stellenbosch University</t>
        </is>
      </c>
      <c r="B1069" s="3" t="inlineStr">
        <is>
          <t>South Africa</t>
        </is>
      </c>
      <c r="C1069" s="3" t="inlineStr">
        <is>
          <t>Стелленбош</t>
        </is>
      </c>
      <c r="D1069" s="3" t="inlineStr">
        <is>
          <t>Stellenbosch University</t>
        </is>
      </c>
      <c r="E1069" s="3" t="inlineStr">
        <is>
          <t>Stellenbosch University</t>
        </is>
      </c>
      <c r="F1069" s="3" t="inlineStr">
        <is>
          <t>https://www.su.ac.za</t>
        </is>
      </c>
      <c r="G1069" s="3" t="inlineStr">
        <is>
          <t>QS2027: 296</t>
        </is>
      </c>
      <c r="H1069" s="3" t="inlineStr">
        <is>
          <t>THE2027: 326–350</t>
        </is>
      </c>
      <c r="I1069" s="3" t="inlineStr"/>
      <c r="J1069" s="4">
        <f>296</f>
        <v/>
      </c>
      <c r="K1069" s="4" t="inlineStr">
        <is>
          <t>326–350</t>
        </is>
      </c>
      <c r="L1069" s="4" t="inlineStr">
        <is>
          <t>1299</t>
        </is>
      </c>
      <c r="M1069" s="4" t="inlineStr">
        <is>
          <t>нет общенационального рейтинга</t>
        </is>
      </c>
      <c r="N1069" s="4" t="inlineStr">
        <is>
          <t>—</t>
        </is>
      </c>
      <c r="O106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69" s="4" t="inlineStr">
        <is>
          <t>Национального рейтинга нет: DHET и CHE вузы не ранжируют.</t>
        </is>
      </c>
    </row>
    <row r="1070">
      <c r="A1070" s="3" t="inlineStr">
        <is>
          <t>South Africa|Tshwane University of Technology</t>
        </is>
      </c>
      <c r="B1070" s="3" t="inlineStr">
        <is>
          <t>South Africa</t>
        </is>
      </c>
      <c r="C1070" s="3" t="inlineStr">
        <is>
          <t>Претория</t>
        </is>
      </c>
      <c r="D1070" s="3" t="inlineStr">
        <is>
          <t>Tshwane University of Technology</t>
        </is>
      </c>
      <c r="E1070" s="3" t="inlineStr">
        <is>
          <t>Tshwane University of Technology</t>
        </is>
      </c>
      <c r="F1070" s="3" t="inlineStr">
        <is>
          <t>https://www.tut.ac.za</t>
        </is>
      </c>
      <c r="G1070" s="3" t="inlineStr"/>
      <c r="H1070" s="3" t="inlineStr">
        <is>
          <t>THE2027: 1801–2000</t>
        </is>
      </c>
      <c r="I1070" s="3" t="inlineStr"/>
      <c r="J1070" s="4" t="inlineStr">
        <is>
          <t>не в рейтинге</t>
        </is>
      </c>
      <c r="K1070" s="4" t="inlineStr">
        <is>
          <t>1801–2000</t>
        </is>
      </c>
      <c r="L1070" s="4" t="inlineStr">
        <is>
          <t>нет в опубл. списке (опубликован только топ-15 страны)</t>
        </is>
      </c>
      <c r="M1070" s="4" t="inlineStr">
        <is>
          <t>нет общенационального рейтинга</t>
        </is>
      </c>
      <c r="N1070" s="4" t="inlineStr">
        <is>
          <t>—</t>
        </is>
      </c>
      <c r="O1070" s="4" t="inlineStr">
        <is>
          <t>https://www.timeshighereducation.com/world-university-rankings/2027/world-ranking</t>
        </is>
      </c>
      <c r="P1070" s="4" t="inlineStr">
        <is>
          <t>Национального рейтинга нет: DHET и CHE вузы не ранжируют.</t>
        </is>
      </c>
    </row>
    <row r="1071">
      <c r="A1071" s="3" t="inlineStr">
        <is>
          <t>South Africa|University of Cape Town</t>
        </is>
      </c>
      <c r="B1071" s="3" t="inlineStr">
        <is>
          <t>South Africa</t>
        </is>
      </c>
      <c r="C1071" s="3" t="inlineStr">
        <is>
          <t>Кейптаун</t>
        </is>
      </c>
      <c r="D1071" s="3" t="inlineStr">
        <is>
          <t>University of Cape Town</t>
        </is>
      </c>
      <c r="E1071" s="3" t="inlineStr">
        <is>
          <t>University of Cape Town</t>
        </is>
      </c>
      <c r="F1071" s="3" t="inlineStr">
        <is>
          <t>https://www.uct.ac.za</t>
        </is>
      </c>
      <c r="G1071" s="3" t="inlineStr">
        <is>
          <t>QS2027: 184</t>
        </is>
      </c>
      <c r="H1071" s="3" t="inlineStr">
        <is>
          <t>THE2027: =147</t>
        </is>
      </c>
      <c r="I1071" s="3" t="inlineStr"/>
      <c r="J1071" s="4" t="inlineStr">
        <is>
          <t>184</t>
        </is>
      </c>
      <c r="K1071" s="4">
        <f>147</f>
        <v/>
      </c>
      <c r="L1071" s="4" t="inlineStr">
        <is>
          <t>277</t>
        </is>
      </c>
      <c r="M1071" s="4" t="inlineStr">
        <is>
          <t>нет общенационального рейтинга</t>
        </is>
      </c>
      <c r="N1071" s="4" t="inlineStr">
        <is>
          <t>—</t>
        </is>
      </c>
      <c r="O107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71" s="4" t="inlineStr">
        <is>
          <t>Национального рейтинга нет: DHET и CHE вузы не ранжируют.</t>
        </is>
      </c>
    </row>
    <row r="1072">
      <c r="A1072" s="3" t="inlineStr">
        <is>
          <t>South Africa|University of Fort Hare</t>
        </is>
      </c>
      <c r="B1072" s="3" t="inlineStr">
        <is>
          <t>South Africa</t>
        </is>
      </c>
      <c r="C1072" s="3" t="inlineStr">
        <is>
          <t>Элис</t>
        </is>
      </c>
      <c r="D1072" s="3" t="inlineStr">
        <is>
          <t>University of Fort Hare</t>
        </is>
      </c>
      <c r="E1072" s="3" t="inlineStr">
        <is>
          <t>University of Fort Hare</t>
        </is>
      </c>
      <c r="F1072" s="3" t="inlineStr">
        <is>
          <t>https://www.ufh.ac.za</t>
        </is>
      </c>
      <c r="G1072" s="3" t="inlineStr"/>
      <c r="H1072" s="3" t="inlineStr"/>
      <c r="I1072" s="3" t="inlineStr"/>
      <c r="J1072" s="4" t="inlineStr">
        <is>
          <t>не в рейтинге</t>
        </is>
      </c>
      <c r="K1072" s="4" t="inlineStr">
        <is>
          <t>не в рейтинге</t>
        </is>
      </c>
      <c r="L1072" s="4" t="inlineStr">
        <is>
          <t>нет в опубл. списке (опубликован только топ-15 страны)</t>
        </is>
      </c>
      <c r="M1072" s="4" t="inlineStr">
        <is>
          <t>нет общенационального рейтинга</t>
        </is>
      </c>
      <c r="N1072" s="4" t="inlineStr">
        <is>
          <t>—</t>
        </is>
      </c>
      <c r="O1072" s="4" t="n"/>
      <c r="P1072" s="4" t="inlineStr">
        <is>
          <t>Национального рейтинга нет: DHET и CHE вузы не ранжируют.</t>
        </is>
      </c>
    </row>
    <row r="1073">
      <c r="A1073" s="3" t="inlineStr">
        <is>
          <t>South Africa|University of KwaZulu-Natal</t>
        </is>
      </c>
      <c r="B1073" s="3" t="inlineStr">
        <is>
          <t>South Africa</t>
        </is>
      </c>
      <c r="C1073" s="3" t="inlineStr">
        <is>
          <t>Дурбан</t>
        </is>
      </c>
      <c r="D1073" s="3" t="inlineStr">
        <is>
          <t>University of KwaZulu-Natal</t>
        </is>
      </c>
      <c r="E1073" s="3" t="inlineStr">
        <is>
          <t>University of KwaZulu-Natal</t>
        </is>
      </c>
      <c r="F1073" s="3" t="inlineStr">
        <is>
          <t>https://ukzn.ac.za</t>
        </is>
      </c>
      <c r="G1073" s="3" t="inlineStr">
        <is>
          <t>QS2027: 600</t>
        </is>
      </c>
      <c r="H1073" s="3" t="inlineStr">
        <is>
          <t>THE2027: 501–550</t>
        </is>
      </c>
      <c r="I1073" s="3" t="inlineStr"/>
      <c r="J1073" s="4">
        <f>600</f>
        <v/>
      </c>
      <c r="K1073" s="4" t="inlineStr">
        <is>
          <t>501–550</t>
        </is>
      </c>
      <c r="L1073" s="4" t="inlineStr">
        <is>
          <t>593</t>
        </is>
      </c>
      <c r="M1073" s="4" t="inlineStr">
        <is>
          <t>нет общенационального рейтинга</t>
        </is>
      </c>
      <c r="N1073" s="4" t="inlineStr">
        <is>
          <t>—</t>
        </is>
      </c>
      <c r="O107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73" s="4" t="inlineStr">
        <is>
          <t>Национального рейтинга нет: DHET и CHE вузы не ранжируют.</t>
        </is>
      </c>
    </row>
    <row r="1074">
      <c r="A1074" s="3" t="inlineStr">
        <is>
          <t>South Africa|University of Limpopo</t>
        </is>
      </c>
      <c r="B1074" s="3" t="inlineStr">
        <is>
          <t>South Africa</t>
        </is>
      </c>
      <c r="C1074" s="3" t="inlineStr">
        <is>
          <t>Полокване (Манквенг)</t>
        </is>
      </c>
      <c r="D1074" s="3" t="inlineStr">
        <is>
          <t>University of Limpopo</t>
        </is>
      </c>
      <c r="E1074" s="3" t="inlineStr">
        <is>
          <t>University of Limpopo</t>
        </is>
      </c>
      <c r="F1074" s="3" t="inlineStr">
        <is>
          <t>https://www.ul.ac.za</t>
        </is>
      </c>
      <c r="G1074" s="3" t="inlineStr"/>
      <c r="H1074" s="3" t="inlineStr"/>
      <c r="I1074" s="3" t="inlineStr"/>
      <c r="J1074" s="4" t="inlineStr">
        <is>
          <t>не в рейтинге</t>
        </is>
      </c>
      <c r="K1074" s="4" t="inlineStr">
        <is>
          <t>не в рейтинге</t>
        </is>
      </c>
      <c r="L1074" s="4" t="inlineStr">
        <is>
          <t>нет в опубл. списке (опубликован только топ-15 страны)</t>
        </is>
      </c>
      <c r="M1074" s="4" t="inlineStr">
        <is>
          <t>нет общенационального рейтинга</t>
        </is>
      </c>
      <c r="N1074" s="4" t="inlineStr">
        <is>
          <t>—</t>
        </is>
      </c>
      <c r="O1074" s="4" t="n"/>
      <c r="P1074" s="4" t="inlineStr">
        <is>
          <t>Национального рейтинга нет: DHET и CHE вузы не ранжируют.</t>
        </is>
      </c>
    </row>
    <row r="1075">
      <c r="A1075" s="3" t="inlineStr">
        <is>
          <t>South Africa|University of Mpumalanga</t>
        </is>
      </c>
      <c r="B1075" s="3" t="inlineStr">
        <is>
          <t>South Africa</t>
        </is>
      </c>
      <c r="C1075" s="3" t="inlineStr">
        <is>
          <t>Мбомбела</t>
        </is>
      </c>
      <c r="D1075" s="3" t="inlineStr">
        <is>
          <t>University of Mpumalanga</t>
        </is>
      </c>
      <c r="E1075" s="3" t="inlineStr">
        <is>
          <t>University of Mpumalanga</t>
        </is>
      </c>
      <c r="F1075" s="3" t="inlineStr">
        <is>
          <t>https://www.ump.ac.za</t>
        </is>
      </c>
      <c r="G1075" s="3" t="inlineStr"/>
      <c r="H1075" s="3" t="inlineStr"/>
      <c r="I1075" s="3" t="inlineStr"/>
      <c r="J1075" s="4" t="inlineStr">
        <is>
          <t>не в рейтинге</t>
        </is>
      </c>
      <c r="K1075" s="4" t="inlineStr">
        <is>
          <t>не в рейтинге</t>
        </is>
      </c>
      <c r="L1075" s="4" t="inlineStr">
        <is>
          <t>нет в опубл. списке (опубликован только топ-15 страны)</t>
        </is>
      </c>
      <c r="M1075" s="4" t="inlineStr">
        <is>
          <t>нет общенационального рейтинга</t>
        </is>
      </c>
      <c r="N1075" s="4" t="inlineStr">
        <is>
          <t>—</t>
        </is>
      </c>
      <c r="O1075" s="4" t="n"/>
      <c r="P1075" s="4" t="inlineStr">
        <is>
          <t>Национального рейтинга нет: DHET и CHE вузы не ранжируют.</t>
        </is>
      </c>
    </row>
    <row r="1076">
      <c r="A1076" s="3" t="inlineStr">
        <is>
          <t>South Africa|University of South Africa</t>
        </is>
      </c>
      <c r="B1076" s="3" t="inlineStr">
        <is>
          <t>South Africa</t>
        </is>
      </c>
      <c r="C1076" s="3" t="inlineStr">
        <is>
          <t>Претория</t>
        </is>
      </c>
      <c r="D1076" s="3" t="inlineStr">
        <is>
          <t>University of South Africa</t>
        </is>
      </c>
      <c r="E1076" s="3" t="inlineStr">
        <is>
          <t>University of South Africa</t>
        </is>
      </c>
      <c r="F1076" s="3" t="inlineStr">
        <is>
          <t>https://www.unisa.ac.za</t>
        </is>
      </c>
      <c r="G1076" s="3" t="inlineStr"/>
      <c r="H1076" s="3" t="inlineStr">
        <is>
          <t>THE2027: 1201–1400</t>
        </is>
      </c>
      <c r="I1076" s="3" t="inlineStr"/>
      <c r="J1076" s="4" t="inlineStr">
        <is>
          <t>951–1000</t>
        </is>
      </c>
      <c r="K1076" s="4" t="inlineStr">
        <is>
          <t>1201–1400</t>
        </is>
      </c>
      <c r="L1076" s="4" t="inlineStr">
        <is>
          <t>745</t>
        </is>
      </c>
      <c r="M1076" s="4" t="inlineStr">
        <is>
          <t>нет общенационального рейтинга</t>
        </is>
      </c>
      <c r="N1076" s="4" t="inlineStr">
        <is>
          <t>—</t>
        </is>
      </c>
      <c r="O107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76" s="4" t="inlineStr">
        <is>
          <t>Национального рейтинга нет: DHET и CHE вузы не ранжируют.</t>
        </is>
      </c>
    </row>
    <row r="1077">
      <c r="A1077" s="3" t="inlineStr">
        <is>
          <t>South Africa|University of Venda</t>
        </is>
      </c>
      <c r="B1077" s="3" t="inlineStr">
        <is>
          <t>South Africa</t>
        </is>
      </c>
      <c r="C1077" s="3" t="inlineStr">
        <is>
          <t>Тохояндоу</t>
        </is>
      </c>
      <c r="D1077" s="3" t="inlineStr">
        <is>
          <t>University of Venda</t>
        </is>
      </c>
      <c r="E1077" s="3" t="inlineStr">
        <is>
          <t>University of Venda</t>
        </is>
      </c>
      <c r="F1077" s="3" t="inlineStr">
        <is>
          <t>https://www.univen.ac.za</t>
        </is>
      </c>
      <c r="G1077" s="3" t="inlineStr"/>
      <c r="H1077" s="3" t="inlineStr">
        <is>
          <t>THE2027: 1801–2000</t>
        </is>
      </c>
      <c r="I1077" s="3" t="inlineStr"/>
      <c r="J1077" s="4" t="inlineStr">
        <is>
          <t>не в рейтинге</t>
        </is>
      </c>
      <c r="K1077" s="4" t="inlineStr">
        <is>
          <t>1801–2000</t>
        </is>
      </c>
      <c r="L1077" s="4" t="inlineStr">
        <is>
          <t>нет в опубл. списке (опубликован только топ-15 страны)</t>
        </is>
      </c>
      <c r="M1077" s="4" t="inlineStr">
        <is>
          <t>нет общенационального рейтинга</t>
        </is>
      </c>
      <c r="N1077" s="4" t="inlineStr">
        <is>
          <t>—</t>
        </is>
      </c>
      <c r="O1077" s="4" t="inlineStr">
        <is>
          <t>https://www.timeshighereducation.com/world-university-rankings/2027/world-ranking</t>
        </is>
      </c>
      <c r="P1077" s="4" t="inlineStr">
        <is>
          <t>Национального рейтинга нет: DHET и CHE вузы не ранжируют.</t>
        </is>
      </c>
    </row>
    <row r="1078">
      <c r="A1078" s="3" t="inlineStr">
        <is>
          <t>South Africa|University of the Free State</t>
        </is>
      </c>
      <c r="B1078" s="3" t="inlineStr">
        <is>
          <t>South Africa</t>
        </is>
      </c>
      <c r="C1078" s="3" t="inlineStr">
        <is>
          <t>Блумфонтейн</t>
        </is>
      </c>
      <c r="D1078" s="3" t="inlineStr">
        <is>
          <t>University of the Free State</t>
        </is>
      </c>
      <c r="E1078" s="3" t="inlineStr">
        <is>
          <t>University of the Free State</t>
        </is>
      </c>
      <c r="F1078" s="3" t="inlineStr">
        <is>
          <t>https://www.ufs.ac.za</t>
        </is>
      </c>
      <c r="G1078" s="3" t="inlineStr">
        <is>
          <t>QS2027: 1001-1200</t>
        </is>
      </c>
      <c r="H1078" s="3" t="inlineStr">
        <is>
          <t>THE2027: 1201–1400</t>
        </is>
      </c>
      <c r="I1078" s="3" t="inlineStr"/>
      <c r="J1078" s="4" t="inlineStr">
        <is>
          <t>1001–1200</t>
        </is>
      </c>
      <c r="K1078" s="4" t="inlineStr">
        <is>
          <t>1201–1400</t>
        </is>
      </c>
      <c r="L1078" s="4" t="inlineStr">
        <is>
          <t>1128</t>
        </is>
      </c>
      <c r="M1078" s="4" t="inlineStr">
        <is>
          <t>нет общенационального рейтинга</t>
        </is>
      </c>
      <c r="N1078" s="4" t="inlineStr">
        <is>
          <t>—</t>
        </is>
      </c>
      <c r="O107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78" s="4" t="inlineStr">
        <is>
          <t>Национального рейтинга нет: DHET и CHE вузы не ранжируют.</t>
        </is>
      </c>
    </row>
    <row r="1079">
      <c r="A1079" s="3" t="inlineStr">
        <is>
          <t>South Africa|University of the Western Cape</t>
        </is>
      </c>
      <c r="B1079" s="3" t="inlineStr">
        <is>
          <t>South Africa</t>
        </is>
      </c>
      <c r="C1079" s="3" t="inlineStr">
        <is>
          <t>Кейптаун</t>
        </is>
      </c>
      <c r="D1079" s="3" t="inlineStr">
        <is>
          <t>University of the Western Cape</t>
        </is>
      </c>
      <c r="E1079" s="3" t="inlineStr">
        <is>
          <t>University of the Western Cape</t>
        </is>
      </c>
      <c r="F1079" s="3" t="inlineStr">
        <is>
          <t>https://www.uwc.ac.za</t>
        </is>
      </c>
      <c r="G1079" s="3" t="inlineStr"/>
      <c r="H1079" s="3" t="inlineStr">
        <is>
          <t>THE2027: 701–800</t>
        </is>
      </c>
      <c r="I1079" s="3" t="inlineStr"/>
      <c r="J1079" s="4" t="inlineStr">
        <is>
          <t>1001–1200</t>
        </is>
      </c>
      <c r="K1079" s="4" t="inlineStr">
        <is>
          <t>701–800</t>
        </is>
      </c>
      <c r="L1079" s="4" t="inlineStr">
        <is>
          <t>1059</t>
        </is>
      </c>
      <c r="M1079" s="4" t="inlineStr">
        <is>
          <t>нет общенационального рейтинга</t>
        </is>
      </c>
      <c r="N1079" s="4" t="inlineStr">
        <is>
          <t>—</t>
        </is>
      </c>
      <c r="O107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79" s="4" t="inlineStr">
        <is>
          <t>Национального рейтинга нет: DHET и CHE вузы не ранжируют.</t>
        </is>
      </c>
    </row>
    <row r="1080">
      <c r="A1080" s="3" t="inlineStr">
        <is>
          <t>South Africa|University of the Witwatersrand, Johannesburg</t>
        </is>
      </c>
      <c r="B1080" s="3" t="inlineStr">
        <is>
          <t>South Africa</t>
        </is>
      </c>
      <c r="C1080" s="3" t="inlineStr">
        <is>
          <t>Йоханнесбург</t>
        </is>
      </c>
      <c r="D1080" s="3" t="inlineStr">
        <is>
          <t>University of the Witwatersrand, Johannesburg</t>
        </is>
      </c>
      <c r="E1080" s="3" t="inlineStr">
        <is>
          <t>University of the Witwatersrand, Johannesburg</t>
        </is>
      </c>
      <c r="F1080" s="3" t="inlineStr">
        <is>
          <t>https://www.wits.ac.za</t>
        </is>
      </c>
      <c r="G1080" s="3" t="inlineStr">
        <is>
          <t>QS2027: 302</t>
        </is>
      </c>
      <c r="H1080" s="3" t="inlineStr">
        <is>
          <t>THE2027: 301–325</t>
        </is>
      </c>
      <c r="I1080" s="3" t="inlineStr"/>
      <c r="J1080" s="4" t="inlineStr">
        <is>
          <t>302</t>
        </is>
      </c>
      <c r="K1080" s="4" t="inlineStr">
        <is>
          <t>301–325</t>
        </is>
      </c>
      <c r="L1080" s="4" t="inlineStr">
        <is>
          <t>396</t>
        </is>
      </c>
      <c r="M1080" s="4" t="inlineStr">
        <is>
          <t>нет общенационального рейтинга</t>
        </is>
      </c>
      <c r="N1080" s="4" t="inlineStr">
        <is>
          <t>—</t>
        </is>
      </c>
      <c r="O108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80" s="4" t="inlineStr">
        <is>
          <t>QS: в таблице как «University of Witwatersrand»; THE: в таблице как «University of the Witwatersrand»; Национального рейтинга нет: DHET и CHE вузы не ранжируют.</t>
        </is>
      </c>
    </row>
    <row r="1081">
      <c r="A1081" s="3" t="inlineStr">
        <is>
          <t>South Africa|Vaal University of Technology</t>
        </is>
      </c>
      <c r="B1081" s="3" t="inlineStr">
        <is>
          <t>South Africa</t>
        </is>
      </c>
      <c r="C1081" s="3" t="inlineStr">
        <is>
          <t>Вандербейлпарк</t>
        </is>
      </c>
      <c r="D1081" s="3" t="inlineStr">
        <is>
          <t>Vaal University of Technology</t>
        </is>
      </c>
      <c r="E1081" s="3" t="inlineStr">
        <is>
          <t>Vaal University of Technology</t>
        </is>
      </c>
      <c r="F1081" s="3" t="inlineStr">
        <is>
          <t>https://www.vut.ac.za</t>
        </is>
      </c>
      <c r="G1081" s="3" t="inlineStr"/>
      <c r="H1081" s="3" t="inlineStr">
        <is>
          <t>THE2027: 1801–2000</t>
        </is>
      </c>
      <c r="I1081" s="3" t="inlineStr"/>
      <c r="J1081" s="4" t="inlineStr">
        <is>
          <t>не в рейтинге</t>
        </is>
      </c>
      <c r="K1081" s="4" t="inlineStr">
        <is>
          <t>1801–2000</t>
        </is>
      </c>
      <c r="L1081" s="4" t="inlineStr">
        <is>
          <t>нет в опубл. списке (опубликован только топ-15 страны)</t>
        </is>
      </c>
      <c r="M1081" s="4" t="inlineStr">
        <is>
          <t>нет общенационального рейтинга</t>
        </is>
      </c>
      <c r="N1081" s="4" t="inlineStr">
        <is>
          <t>—</t>
        </is>
      </c>
      <c r="O1081" s="4" t="inlineStr">
        <is>
          <t>https://www.timeshighereducation.com/world-university-rankings/2027/world-ranking</t>
        </is>
      </c>
      <c r="P1081" s="4" t="inlineStr">
        <is>
          <t>Национального рейтинга нет: DHET и CHE вузы не ранжируют.</t>
        </is>
      </c>
    </row>
    <row r="1082">
      <c r="A1082" s="3" t="inlineStr">
        <is>
          <t>South Africa|Walter Sisulu University</t>
        </is>
      </c>
      <c r="B1082" s="3" t="inlineStr">
        <is>
          <t>South Africa</t>
        </is>
      </c>
      <c r="C1082" s="3" t="inlineStr">
        <is>
          <t>Мтата</t>
        </is>
      </c>
      <c r="D1082" s="3" t="inlineStr">
        <is>
          <t>Walter Sisulu University</t>
        </is>
      </c>
      <c r="E1082" s="3" t="inlineStr">
        <is>
          <t>iYunivesithi Walter Sisulu (Walter Sisulu University)</t>
        </is>
      </c>
      <c r="F1082" s="3" t="inlineStr">
        <is>
          <t>https://www.wsu.ac.za</t>
        </is>
      </c>
      <c r="G1082" s="3" t="inlineStr"/>
      <c r="H1082" s="3" t="inlineStr">
        <is>
          <t>THE2027: 1801–2000</t>
        </is>
      </c>
      <c r="I1082" s="3" t="inlineStr"/>
      <c r="J1082" s="4" t="inlineStr">
        <is>
          <t>не в рейтинге</t>
        </is>
      </c>
      <c r="K1082" s="4" t="inlineStr">
        <is>
          <t>1801–2000</t>
        </is>
      </c>
      <c r="L1082" s="4" t="inlineStr">
        <is>
          <t>нет в опубл. списке (опубликован только топ-15 страны)</t>
        </is>
      </c>
      <c r="M1082" s="4" t="inlineStr">
        <is>
          <t>нет общенационального рейтинга</t>
        </is>
      </c>
      <c r="N1082" s="4" t="inlineStr">
        <is>
          <t>—</t>
        </is>
      </c>
      <c r="O1082" s="4" t="inlineStr">
        <is>
          <t>https://www.timeshighereducation.com/world-university-rankings/2027/world-ranking</t>
        </is>
      </c>
      <c r="P1082" s="4" t="inlineStr">
        <is>
          <t>Национального рейтинга нет: DHET и CHE вузы не ранжируют.</t>
        </is>
      </c>
    </row>
    <row r="1083">
      <c r="A1083" s="3" t="inlineStr">
        <is>
          <t>Thailand|Assumption University of Thailand</t>
        </is>
      </c>
      <c r="B1083" s="3" t="inlineStr">
        <is>
          <t>Thailand</t>
        </is>
      </c>
      <c r="C1083" s="3" t="inlineStr">
        <is>
          <t>Бангкок</t>
        </is>
      </c>
      <c r="D1083" s="3" t="inlineStr">
        <is>
          <t>Assumption University of Thailand</t>
        </is>
      </c>
      <c r="E1083" s="3" t="inlineStr">
        <is>
          <t>มหาวิทยาลัยอัสสัมชัญ</t>
        </is>
      </c>
      <c r="F1083" s="3" t="inlineStr">
        <is>
          <t>https://www.au.edu</t>
        </is>
      </c>
      <c r="G1083" s="3" t="inlineStr"/>
      <c r="H1083" s="3" t="inlineStr"/>
      <c r="I1083" s="3" t="inlineStr"/>
      <c r="J1083" s="4" t="inlineStr">
        <is>
          <t>не в рейтинге</t>
        </is>
      </c>
      <c r="K1083" s="4" t="inlineStr">
        <is>
          <t>не в рейтинге</t>
        </is>
      </c>
      <c r="L1083" s="4" t="inlineStr">
        <is>
          <t>нет в опубл. списке (опубликован только топ-15 страны)</t>
        </is>
      </c>
      <c r="M1083" s="4" t="inlineStr">
        <is>
          <t>нет общенационального рейтинга</t>
        </is>
      </c>
      <c r="N1083" s="4" t="inlineStr">
        <is>
          <t>—</t>
        </is>
      </c>
      <c r="O1083" s="4" t="n"/>
      <c r="P1083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84">
      <c r="A1084" s="3" t="inlineStr">
        <is>
          <t>Thailand|Bangkok University</t>
        </is>
      </c>
      <c r="B1084" s="3" t="inlineStr">
        <is>
          <t>Thailand</t>
        </is>
      </c>
      <c r="C1084" s="3" t="inlineStr">
        <is>
          <t>Патхумтхани (Кхлонглуанг)</t>
        </is>
      </c>
      <c r="D1084" s="3" t="inlineStr">
        <is>
          <t>Bangkok University</t>
        </is>
      </c>
      <c r="E1084" s="3" t="inlineStr">
        <is>
          <t>มหาวิทยาลัยกรุงเทพ</t>
        </is>
      </c>
      <c r="F1084" s="3" t="inlineStr">
        <is>
          <t>https://www.bu.ac.th</t>
        </is>
      </c>
      <c r="G1084" s="3" t="inlineStr"/>
      <c r="H1084" s="3" t="inlineStr"/>
      <c r="I1084" s="3" t="inlineStr"/>
      <c r="J1084" s="4" t="inlineStr">
        <is>
          <t>не в рейтинге</t>
        </is>
      </c>
      <c r="K1084" s="4" t="inlineStr">
        <is>
          <t>Reporter</t>
        </is>
      </c>
      <c r="L1084" s="4" t="inlineStr">
        <is>
          <t>нет в опубл. списке (опубликован только топ-15 страны)</t>
        </is>
      </c>
      <c r="M1084" s="4" t="inlineStr">
        <is>
          <t>нет общенационального рейтинга</t>
        </is>
      </c>
      <c r="N1084" s="4" t="inlineStr">
        <is>
          <t>—</t>
        </is>
      </c>
      <c r="O1084" s="4" t="inlineStr">
        <is>
          <t>https://www.timeshighereducation.com/world-university-rankings/2027/world-ranking</t>
        </is>
      </c>
      <c r="P1084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85">
      <c r="A1085" s="3" t="inlineStr">
        <is>
          <t>Thailand|Burapha University (BUU)</t>
        </is>
      </c>
      <c r="B1085" s="3" t="inlineStr">
        <is>
          <t>Thailand</t>
        </is>
      </c>
      <c r="C1085" s="3" t="inlineStr">
        <is>
          <t>Чонбури (Бангсэн)</t>
        </is>
      </c>
      <c r="D1085" s="3" t="inlineStr">
        <is>
          <t>Burapha University (BUU)</t>
        </is>
      </c>
      <c r="E1085" s="3" t="inlineStr">
        <is>
          <t>มหาวิทยาลัยบูรพา</t>
        </is>
      </c>
      <c r="F1085" s="3" t="inlineStr">
        <is>
          <t>https://www.buu.ac.th</t>
        </is>
      </c>
      <c r="G1085" s="3" t="inlineStr"/>
      <c r="H1085" s="3" t="inlineStr">
        <is>
          <t>THE2027: 2001+</t>
        </is>
      </c>
      <c r="I1085" s="3" t="inlineStr"/>
      <c r="J1085" s="4" t="inlineStr">
        <is>
          <t>не в рейтинге</t>
        </is>
      </c>
      <c r="K1085" s="4" t="inlineStr">
        <is>
          <t>2001+</t>
        </is>
      </c>
      <c r="L1085" s="4" t="inlineStr">
        <is>
          <t>нет в опубл. списке (опубликован только топ-15 страны)</t>
        </is>
      </c>
      <c r="M1085" s="4" t="inlineStr">
        <is>
          <t>нет общенационального рейтинга</t>
        </is>
      </c>
      <c r="N1085" s="4" t="inlineStr">
        <is>
          <t>—</t>
        </is>
      </c>
      <c r="O1085" s="4" t="inlineStr">
        <is>
          <t>https://www.timeshighereducation.com/world-university-rankings/2027/world-ranking</t>
        </is>
      </c>
      <c r="P1085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86">
      <c r="A1086" s="3" t="inlineStr">
        <is>
          <t>Thailand|Chiang Mai University (CMU)</t>
        </is>
      </c>
      <c r="B1086" s="3" t="inlineStr">
        <is>
          <t>Thailand</t>
        </is>
      </c>
      <c r="C1086" s="3" t="inlineStr">
        <is>
          <t>Чиангмай</t>
        </is>
      </c>
      <c r="D1086" s="3" t="inlineStr">
        <is>
          <t>Chiang Mai University (CMU)</t>
        </is>
      </c>
      <c r="E1086" s="3" t="inlineStr">
        <is>
          <t>มหาวิทยาลัยเชียงใหม่</t>
        </is>
      </c>
      <c r="F1086" s="3" t="inlineStr">
        <is>
          <t>https://www.cmu.ac.th</t>
        </is>
      </c>
      <c r="G1086" s="3" t="inlineStr">
        <is>
          <t>QS2027: 555</t>
        </is>
      </c>
      <c r="H1086" s="3" t="inlineStr">
        <is>
          <t>THE2027: 1001–1200</t>
        </is>
      </c>
      <c r="I1086" s="3" t="inlineStr"/>
      <c r="J1086" s="4">
        <f>555</f>
        <v/>
      </c>
      <c r="K1086" s="4" t="inlineStr">
        <is>
          <t>1001–1200</t>
        </is>
      </c>
      <c r="L1086" s="4" t="inlineStr">
        <is>
          <t>527</t>
        </is>
      </c>
      <c r="M1086" s="4" t="inlineStr">
        <is>
          <t>нет общенационального рейтинга</t>
        </is>
      </c>
      <c r="N1086" s="4" t="inlineStr">
        <is>
          <t>—</t>
        </is>
      </c>
      <c r="O108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86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87">
      <c r="A1087" s="3" t="inlineStr">
        <is>
          <t>Thailand|Chulabhorn Royal Academy (CRA)</t>
        </is>
      </c>
      <c r="B1087" s="3" t="inlineStr">
        <is>
          <t>Thailand</t>
        </is>
      </c>
      <c r="C1087" s="3" t="inlineStr">
        <is>
          <t>Бангкок</t>
        </is>
      </c>
      <c r="D1087" s="3" t="inlineStr">
        <is>
          <t>Chulabhorn Royal Academy (CRA)</t>
        </is>
      </c>
      <c r="E1087" s="3" t="inlineStr">
        <is>
          <t>ราชวิทยาลัยจุฬาภรณ์</t>
        </is>
      </c>
      <c r="F1087" s="3" t="inlineStr">
        <is>
          <t>https://www.cra.ac.th</t>
        </is>
      </c>
      <c r="G1087" s="3" t="inlineStr"/>
      <c r="H1087" s="3" t="inlineStr">
        <is>
          <t>THE2027: 1601–1800</t>
        </is>
      </c>
      <c r="I1087" s="3" t="inlineStr"/>
      <c r="J1087" s="4" t="inlineStr">
        <is>
          <t>не в рейтинге</t>
        </is>
      </c>
      <c r="K1087" s="4" t="inlineStr">
        <is>
          <t>1601–1800</t>
        </is>
      </c>
      <c r="L1087" s="4" t="inlineStr">
        <is>
          <t>нет в опубл. списке (опубликован только топ-15 страны)</t>
        </is>
      </c>
      <c r="M1087" s="4" t="inlineStr">
        <is>
          <t>нет общенационального рейтинга</t>
        </is>
      </c>
      <c r="N1087" s="4" t="inlineStr">
        <is>
          <t>—</t>
        </is>
      </c>
      <c r="O1087" s="4" t="inlineStr">
        <is>
          <t>https://www.timeshighereducation.com/world-university-rankings/2027/world-ranking</t>
        </is>
      </c>
      <c r="P1087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88">
      <c r="A1088" s="3" t="inlineStr">
        <is>
          <t>Thailand|Chulalongkorn University</t>
        </is>
      </c>
      <c r="B1088" s="3" t="inlineStr">
        <is>
          <t>Thailand</t>
        </is>
      </c>
      <c r="C1088" s="3" t="inlineStr">
        <is>
          <t>Бангкок</t>
        </is>
      </c>
      <c r="D1088" s="3" t="inlineStr">
        <is>
          <t>Chulalongkorn University</t>
        </is>
      </c>
      <c r="E1088" s="3" t="inlineStr">
        <is>
          <t>จุฬาลงกรณ์มหาวิทยาลัย</t>
        </is>
      </c>
      <c r="F1088" s="3" t="inlineStr">
        <is>
          <t>https://www.chula.ac.th</t>
        </is>
      </c>
      <c r="G1088" s="3" t="inlineStr">
        <is>
          <t>QS2027: 212</t>
        </is>
      </c>
      <c r="H1088" s="3" t="inlineStr">
        <is>
          <t>THE2027: 501–550</t>
        </is>
      </c>
      <c r="I1088" s="3" t="inlineStr"/>
      <c r="J1088" s="4" t="inlineStr">
        <is>
          <t>212</t>
        </is>
      </c>
      <c r="K1088" s="4" t="inlineStr">
        <is>
          <t>501–550</t>
        </is>
      </c>
      <c r="L1088" s="4" t="inlineStr">
        <is>
          <t>нет в опубл. списке (опубликован только топ-15 страны)</t>
        </is>
      </c>
      <c r="M1088" s="4" t="inlineStr">
        <is>
          <t>нет общенационального рейтинга</t>
        </is>
      </c>
      <c r="N1088" s="4" t="inlineStr">
        <is>
          <t>—</t>
        </is>
      </c>
      <c r="O1088" s="4" t="inlineStr">
        <is>
          <t>https://www.topuniversities.com/world-university-rankings (QS WUR 2027)
https://www.timeshighereducation.com/world-university-rankings/2027/world-ranking</t>
        </is>
      </c>
      <c r="P1088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89">
      <c r="A1089" s="3" t="inlineStr">
        <is>
          <t>Thailand|Dhurakij Pundit University</t>
        </is>
      </c>
      <c r="B1089" s="3" t="inlineStr">
        <is>
          <t>Thailand</t>
        </is>
      </c>
      <c r="C1089" s="3" t="inlineStr">
        <is>
          <t>Бангкок</t>
        </is>
      </c>
      <c r="D1089" s="3" t="inlineStr">
        <is>
          <t>Dhurakij Pundit University</t>
        </is>
      </c>
      <c r="E1089" s="3" t="inlineStr">
        <is>
          <t>มหาวิทยาลัยธุรกิจบัณฑิตย์</t>
        </is>
      </c>
      <c r="F1089" s="3" t="inlineStr">
        <is>
          <t>https://www.dpu.ac.th</t>
        </is>
      </c>
      <c r="G1089" s="3" t="inlineStr"/>
      <c r="H1089" s="3" t="inlineStr"/>
      <c r="I1089" s="3" t="inlineStr"/>
      <c r="J1089" s="4" t="inlineStr">
        <is>
          <t>не в рейтинге</t>
        </is>
      </c>
      <c r="K1089" s="4" t="inlineStr">
        <is>
          <t>Reporter</t>
        </is>
      </c>
      <c r="L1089" s="4" t="inlineStr">
        <is>
          <t>нет в опубл. списке (опубликован только топ-15 страны)</t>
        </is>
      </c>
      <c r="M1089" s="4" t="inlineStr">
        <is>
          <t>нет общенационального рейтинга</t>
        </is>
      </c>
      <c r="N1089" s="4" t="inlineStr">
        <is>
          <t>—</t>
        </is>
      </c>
      <c r="O1089" s="4" t="inlineStr">
        <is>
          <t>https://www.timeshighereducation.com/world-university-rankings/2027/world-ranking</t>
        </is>
      </c>
      <c r="P1089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0">
      <c r="A1090" s="3" t="inlineStr">
        <is>
          <t>Thailand|Geo-Informatics and Space Technology Development Agency (Public Organization) (GISTDA)</t>
        </is>
      </c>
      <c r="B1090" s="3" t="inlineStr">
        <is>
          <t>Thailand</t>
        </is>
      </c>
      <c r="C1090" s="3" t="inlineStr">
        <is>
          <t>Бангкок</t>
        </is>
      </c>
      <c r="D1090" s="3" t="inlineStr">
        <is>
          <t>Geo-Informatics and Space Technology Development Agency (Public Organization) (GISTDA)</t>
        </is>
      </c>
      <c r="E1090" s="3" t="inlineStr">
        <is>
          <t>สำนักงานพัฒนาเทคโนโลยีอวกาศและภูมิสารสนเทศ (องค์การมหาชน)</t>
        </is>
      </c>
      <c r="F1090" s="3" t="inlineStr">
        <is>
          <t>https://www.gistda.or.th</t>
        </is>
      </c>
      <c r="G1090" s="3" t="inlineStr"/>
      <c r="H1090" s="3" t="inlineStr"/>
      <c r="I1090" s="3" t="inlineStr"/>
      <c r="J1090" s="4" t="inlineStr">
        <is>
          <t>не в рейтинге</t>
        </is>
      </c>
      <c r="K1090" s="4" t="inlineStr">
        <is>
          <t>не в рейтинге</t>
        </is>
      </c>
      <c r="L1090" s="4" t="inlineStr">
        <is>
          <t>нет в опубл. списке (опубликован только топ-15 страны)</t>
        </is>
      </c>
      <c r="M1090" s="4" t="inlineStr">
        <is>
          <t>нет общенационального рейтинга</t>
        </is>
      </c>
      <c r="N1090" s="4" t="inlineStr">
        <is>
          <t>—</t>
        </is>
      </c>
      <c r="O1090" s="4" t="n"/>
      <c r="P1090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1">
      <c r="A1091" s="3" t="inlineStr">
        <is>
          <t>Thailand|Kalasin University</t>
        </is>
      </c>
      <c r="B1091" s="3" t="inlineStr">
        <is>
          <t>Thailand</t>
        </is>
      </c>
      <c r="C1091" s="3" t="inlineStr">
        <is>
          <t>Каласин</t>
        </is>
      </c>
      <c r="D1091" s="3" t="inlineStr">
        <is>
          <t>Kalasin University</t>
        </is>
      </c>
      <c r="E1091" s="3" t="inlineStr">
        <is>
          <t>มหาวิทยาลัยกาฬสินธุ์</t>
        </is>
      </c>
      <c r="F1091" s="3" t="inlineStr">
        <is>
          <t>https://www.ksu.ac.th</t>
        </is>
      </c>
      <c r="G1091" s="3" t="inlineStr"/>
      <c r="H1091" s="3" t="inlineStr"/>
      <c r="I1091" s="3" t="inlineStr"/>
      <c r="J1091" s="4" t="inlineStr">
        <is>
          <t>не в рейтинге</t>
        </is>
      </c>
      <c r="K1091" s="4" t="inlineStr">
        <is>
          <t>Reporter</t>
        </is>
      </c>
      <c r="L1091" s="4" t="inlineStr">
        <is>
          <t>нет в опубл. списке (опубликован только топ-15 страны)</t>
        </is>
      </c>
      <c r="M1091" s="4" t="inlineStr">
        <is>
          <t>нет общенационального рейтинга</t>
        </is>
      </c>
      <c r="N1091" s="4" t="inlineStr">
        <is>
          <t>—</t>
        </is>
      </c>
      <c r="O1091" s="4" t="inlineStr">
        <is>
          <t>https://www.timeshighereducation.com/world-university-rankings/2027/world-ranking</t>
        </is>
      </c>
      <c r="P1091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2">
      <c r="A1092" s="3" t="inlineStr">
        <is>
          <t>Thailand|Kasem Bundit University</t>
        </is>
      </c>
      <c r="B1092" s="3" t="inlineStr">
        <is>
          <t>Thailand</t>
        </is>
      </c>
      <c r="C1092" s="3" t="inlineStr">
        <is>
          <t>Бангкок</t>
        </is>
      </c>
      <c r="D1092" s="3" t="inlineStr">
        <is>
          <t>Kasem Bundit University</t>
        </is>
      </c>
      <c r="E1092" s="3" t="inlineStr">
        <is>
          <t>มหาวิทยาลัยเกษมบัณฑิต</t>
        </is>
      </c>
      <c r="F1092" s="3" t="inlineStr">
        <is>
          <t>https://www.kbu.ac.th</t>
        </is>
      </c>
      <c r="G1092" s="3" t="inlineStr"/>
      <c r="H1092" s="3" t="inlineStr"/>
      <c r="I1092" s="3" t="inlineStr"/>
      <c r="J1092" s="4" t="inlineStr">
        <is>
          <t>не в рейтинге</t>
        </is>
      </c>
      <c r="K1092" s="4" t="inlineStr">
        <is>
          <t>не в рейтинге</t>
        </is>
      </c>
      <c r="L1092" s="4" t="inlineStr">
        <is>
          <t>нет в опубл. списке (опубликован только топ-15 страны)</t>
        </is>
      </c>
      <c r="M1092" s="4" t="inlineStr">
        <is>
          <t>нет общенационального рейтинга</t>
        </is>
      </c>
      <c r="N1092" s="4" t="inlineStr">
        <is>
          <t>—</t>
        </is>
      </c>
      <c r="O1092" s="4" t="n"/>
      <c r="P1092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3">
      <c r="A1093" s="3" t="inlineStr">
        <is>
          <t>Thailand|Kasetsart University</t>
        </is>
      </c>
      <c r="B1093" s="3" t="inlineStr">
        <is>
          <t>Thailand</t>
        </is>
      </c>
      <c r="C1093" s="3" t="inlineStr">
        <is>
          <t>Бангкок</t>
        </is>
      </c>
      <c r="D1093" s="3" t="inlineStr">
        <is>
          <t>Kasetsart University</t>
        </is>
      </c>
      <c r="E1093" s="3" t="inlineStr">
        <is>
          <t>มหาวิทยาลัยเกษตรศาสตร์</t>
        </is>
      </c>
      <c r="F1093" s="3" t="inlineStr">
        <is>
          <t>https://www.ku.ac.th</t>
        </is>
      </c>
      <c r="G1093" s="3" t="inlineStr">
        <is>
          <t>QS2027: 721–730</t>
        </is>
      </c>
      <c r="H1093" s="3" t="inlineStr">
        <is>
          <t>THE2027: 1601–1800</t>
        </is>
      </c>
      <c r="I1093" s="3" t="inlineStr"/>
      <c r="J1093" s="4" t="inlineStr">
        <is>
          <t>721–730</t>
        </is>
      </c>
      <c r="K1093" s="4" t="inlineStr">
        <is>
          <t>1601–1800</t>
        </is>
      </c>
      <c r="L1093" s="4" t="inlineStr">
        <is>
          <t>808</t>
        </is>
      </c>
      <c r="M1093" s="4" t="inlineStr">
        <is>
          <t>нет общенационального рейтинга</t>
        </is>
      </c>
      <c r="N1093" s="4" t="inlineStr">
        <is>
          <t>—</t>
        </is>
      </c>
      <c r="O109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93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4">
      <c r="A1094" s="3" t="inlineStr">
        <is>
          <t>Thailand|Khon Kaen University (KKU)</t>
        </is>
      </c>
      <c r="B1094" s="3" t="inlineStr">
        <is>
          <t>Thailand</t>
        </is>
      </c>
      <c r="C1094" s="3" t="inlineStr">
        <is>
          <t>Кхонкэн</t>
        </is>
      </c>
      <c r="D1094" s="3" t="inlineStr">
        <is>
          <t>Khon Kaen University (KKU)</t>
        </is>
      </c>
      <c r="E1094" s="3" t="inlineStr">
        <is>
          <t>มหาวิทยาลัยขอนแก่น</t>
        </is>
      </c>
      <c r="F1094" s="3" t="inlineStr">
        <is>
          <t>https://www.kku.ac.th</t>
        </is>
      </c>
      <c r="G1094" s="3" t="inlineStr">
        <is>
          <t>QS2027: 901–950</t>
        </is>
      </c>
      <c r="H1094" s="3" t="inlineStr">
        <is>
          <t>THE2027: 1201–1400</t>
        </is>
      </c>
      <c r="I1094" s="3" t="inlineStr"/>
      <c r="J1094" s="4" t="inlineStr">
        <is>
          <t>901–950</t>
        </is>
      </c>
      <c r="K1094" s="4" t="inlineStr">
        <is>
          <t>1201–1400</t>
        </is>
      </c>
      <c r="L1094" s="4" t="inlineStr">
        <is>
          <t>817</t>
        </is>
      </c>
      <c r="M1094" s="4" t="inlineStr">
        <is>
          <t>нет общенационального рейтинга</t>
        </is>
      </c>
      <c r="N1094" s="4" t="inlineStr">
        <is>
          <t>—</t>
        </is>
      </c>
      <c r="O109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94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5">
      <c r="A1095" s="3" t="inlineStr">
        <is>
          <t>Thailand|King Mongkut's Institute of Technology Ladkrabang (KMITL)</t>
        </is>
      </c>
      <c r="B1095" s="3" t="inlineStr">
        <is>
          <t>Thailand</t>
        </is>
      </c>
      <c r="C1095" s="3" t="inlineStr">
        <is>
          <t>Бангкок</t>
        </is>
      </c>
      <c r="D1095" s="3" t="inlineStr">
        <is>
          <t>King Mongkut's Institute of Technology Ladkrabang (KMITL)</t>
        </is>
      </c>
      <c r="E1095" s="3" t="inlineStr">
        <is>
          <t>สถาบันเทคโนโลยีพระจอมเกล้าเจ้าคุณทหารลาดกระบัง</t>
        </is>
      </c>
      <c r="F1095" s="3" t="inlineStr">
        <is>
          <t>https://www.kmitl.ac.th</t>
        </is>
      </c>
      <c r="G1095" s="3" t="inlineStr">
        <is>
          <t>QS2027: 1201–1400</t>
        </is>
      </c>
      <c r="H1095" s="3" t="inlineStr">
        <is>
          <t>THE2027: 1401–1600</t>
        </is>
      </c>
      <c r="I1095" s="3" t="inlineStr"/>
      <c r="J1095" s="4" t="inlineStr">
        <is>
          <t>1201–1400</t>
        </is>
      </c>
      <c r="K1095" s="4" t="inlineStr">
        <is>
          <t>1401–1600</t>
        </is>
      </c>
      <c r="L1095" s="4" t="inlineStr">
        <is>
          <t>1427</t>
        </is>
      </c>
      <c r="M1095" s="4" t="inlineStr">
        <is>
          <t>нет общенационального рейтинга</t>
        </is>
      </c>
      <c r="N1095" s="4" t="inlineStr">
        <is>
          <t>—</t>
        </is>
      </c>
      <c r="O1095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95" s="4" t="inlineStr">
        <is>
          <t>QS: в таблице как «King Mongkuts Institute of Technology Ladkrabang (KMITL)»; THE: в таблице как «KMITL – King Mongkut’s Institute of Technology Ladkrabang»; Национального рейтинга с местами нет: MHESI/OHEC/ONESQA и др. рейтинг вузов Таиланда с местами не публикуют.</t>
        </is>
      </c>
    </row>
    <row r="1096">
      <c r="A1096" s="3" t="inlineStr">
        <is>
          <t>Thailand|King Mongkut's University of Technology North Bangkok (KMUTNB)</t>
        </is>
      </c>
      <c r="B1096" s="3" t="inlineStr">
        <is>
          <t>Thailand</t>
        </is>
      </c>
      <c r="C1096" s="3" t="inlineStr">
        <is>
          <t>Бангкок</t>
        </is>
      </c>
      <c r="D1096" s="3" t="inlineStr">
        <is>
          <t>King Mongkut's University of Technology North Bangkok (KMUTNB)</t>
        </is>
      </c>
      <c r="E1096" s="3" t="inlineStr">
        <is>
          <t>มหาวิทยาลัยเทคโนโลยีพระจอมเกล้าพระนครเหนือ</t>
        </is>
      </c>
      <c r="F1096" s="3" t="inlineStr">
        <is>
          <t>https://www.kmutnb.ac.th</t>
        </is>
      </c>
      <c r="G1096" s="3" t="inlineStr">
        <is>
          <t>QS2027: 1401+</t>
        </is>
      </c>
      <c r="H1096" s="3" t="inlineStr">
        <is>
          <t>THE2027: 1201–1400</t>
        </is>
      </c>
      <c r="I1096" s="3" t="inlineStr"/>
      <c r="J1096" s="4" t="inlineStr">
        <is>
          <t>1401+</t>
        </is>
      </c>
      <c r="K1096" s="4" t="inlineStr">
        <is>
          <t>1201–1400</t>
        </is>
      </c>
      <c r="L1096" s="4" t="inlineStr">
        <is>
          <t>1280</t>
        </is>
      </c>
      <c r="M1096" s="4" t="inlineStr">
        <is>
          <t>нет общенационального рейтинга</t>
        </is>
      </c>
      <c r="N1096" s="4" t="inlineStr">
        <is>
          <t>—</t>
        </is>
      </c>
      <c r="O109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96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7">
      <c r="A1097" s="3" t="inlineStr">
        <is>
          <t>Thailand|King Mongkut's University of Technology Thonburi (KMUTT)</t>
        </is>
      </c>
      <c r="B1097" s="3" t="inlineStr">
        <is>
          <t>Thailand</t>
        </is>
      </c>
      <c r="C1097" s="3" t="inlineStr">
        <is>
          <t>Бангкок</t>
        </is>
      </c>
      <c r="D1097" s="3" t="inlineStr">
        <is>
          <t>King Mongkut's University of Technology Thonburi (KMUTT)</t>
        </is>
      </c>
      <c r="E1097" s="3" t="inlineStr">
        <is>
          <t>มหาวิทยาลัยเทคโนโลยีพระจอมเกล้าธนบุรี</t>
        </is>
      </c>
      <c r="F1097" s="3" t="inlineStr">
        <is>
          <t>https://www.kmutt.ac.th</t>
        </is>
      </c>
      <c r="G1097" s="3" t="inlineStr">
        <is>
          <t>QS2027: 1001–1200</t>
        </is>
      </c>
      <c r="H1097" s="3" t="inlineStr">
        <is>
          <t>THE2027: 1001–1200</t>
        </is>
      </c>
      <c r="I1097" s="3" t="inlineStr"/>
      <c r="J1097" s="4" t="inlineStr">
        <is>
          <t>1001–1200</t>
        </is>
      </c>
      <c r="K1097" s="4" t="inlineStr">
        <is>
          <t>1001–1200</t>
        </is>
      </c>
      <c r="L1097" s="4" t="inlineStr">
        <is>
          <t>1179</t>
        </is>
      </c>
      <c r="M1097" s="4" t="inlineStr">
        <is>
          <t>нет общенационального рейтинга</t>
        </is>
      </c>
      <c r="N1097" s="4" t="inlineStr">
        <is>
          <t>—</t>
        </is>
      </c>
      <c r="O109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097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8">
      <c r="A1098" s="3" t="inlineStr">
        <is>
          <t>Thailand|Mae Fah Luang University (MFU)</t>
        </is>
      </c>
      <c r="B1098" s="3" t="inlineStr">
        <is>
          <t>Thailand</t>
        </is>
      </c>
      <c r="C1098" s="3" t="inlineStr">
        <is>
          <t>Чианграй</t>
        </is>
      </c>
      <c r="D1098" s="3" t="inlineStr">
        <is>
          <t>Mae Fah Luang University (MFU)</t>
        </is>
      </c>
      <c r="E1098" s="3" t="inlineStr">
        <is>
          <t>มหาวิทยาลัยแม่ฟ้าหลวง</t>
        </is>
      </c>
      <c r="F1098" s="3" t="inlineStr">
        <is>
          <t>https://www.mfu.ac.th</t>
        </is>
      </c>
      <c r="G1098" s="3" t="inlineStr"/>
      <c r="H1098" s="3" t="inlineStr">
        <is>
          <t>THE2027: 1201–1400</t>
        </is>
      </c>
      <c r="I1098" s="3" t="inlineStr"/>
      <c r="J1098" s="4" t="inlineStr">
        <is>
          <t>не в рейтинге</t>
        </is>
      </c>
      <c r="K1098" s="4" t="inlineStr">
        <is>
          <t>1201–1400</t>
        </is>
      </c>
      <c r="L1098" s="4" t="inlineStr">
        <is>
          <t>нет в опубл. списке (опубликован только топ-15 страны)</t>
        </is>
      </c>
      <c r="M1098" s="4" t="inlineStr">
        <is>
          <t>нет общенационального рейтинга</t>
        </is>
      </c>
      <c r="N1098" s="4" t="inlineStr">
        <is>
          <t>—</t>
        </is>
      </c>
      <c r="O1098" s="4" t="inlineStr">
        <is>
          <t>https://www.timeshighereducation.com/world-university-rankings/2027/world-ranking</t>
        </is>
      </c>
      <c r="P1098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099">
      <c r="A1099" s="3" t="inlineStr">
        <is>
          <t>Thailand|Maejo University (MJU)</t>
        </is>
      </c>
      <c r="B1099" s="3" t="inlineStr">
        <is>
          <t>Thailand</t>
        </is>
      </c>
      <c r="C1099" s="3" t="inlineStr">
        <is>
          <t>Чиангмай (Сансай)</t>
        </is>
      </c>
      <c r="D1099" s="3" t="inlineStr">
        <is>
          <t>Maejo University (MJU)</t>
        </is>
      </c>
      <c r="E1099" s="3" t="inlineStr">
        <is>
          <t>มหาวิทยาลัยแม่โจ้</t>
        </is>
      </c>
      <c r="F1099" s="3" t="inlineStr">
        <is>
          <t>https://www.mju.ac.th</t>
        </is>
      </c>
      <c r="G1099" s="3" t="inlineStr"/>
      <c r="H1099" s="3" t="inlineStr">
        <is>
          <t>THE2027: 1601–1800</t>
        </is>
      </c>
      <c r="I1099" s="3" t="inlineStr"/>
      <c r="J1099" s="4" t="inlineStr">
        <is>
          <t>не в рейтинге</t>
        </is>
      </c>
      <c r="K1099" s="4" t="inlineStr">
        <is>
          <t>1601–1800</t>
        </is>
      </c>
      <c r="L1099" s="4" t="inlineStr">
        <is>
          <t>нет в опубл. списке (опубликован только топ-15 страны)</t>
        </is>
      </c>
      <c r="M1099" s="4" t="inlineStr">
        <is>
          <t>нет общенационального рейтинга</t>
        </is>
      </c>
      <c r="N1099" s="4" t="inlineStr">
        <is>
          <t>—</t>
        </is>
      </c>
      <c r="O1099" s="4" t="inlineStr">
        <is>
          <t>https://www.timeshighereducation.com/world-university-rankings/2027/world-ranking</t>
        </is>
      </c>
      <c r="P1099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0">
      <c r="A1100" s="3" t="inlineStr">
        <is>
          <t>Thailand|Mahanakorn University of Technology (MUT)</t>
        </is>
      </c>
      <c r="B1100" s="3" t="inlineStr">
        <is>
          <t>Thailand</t>
        </is>
      </c>
      <c r="C1100" s="3" t="inlineStr">
        <is>
          <t>Бангкок</t>
        </is>
      </c>
      <c r="D1100" s="3" t="inlineStr">
        <is>
          <t>Mahanakorn University of Technology (MUT)</t>
        </is>
      </c>
      <c r="E1100" s="3" t="inlineStr">
        <is>
          <t>มหาวิทยาลัยเทคโนโลยีมหานคร</t>
        </is>
      </c>
      <c r="F1100" s="3" t="inlineStr">
        <is>
          <t>https://mut.ac.th</t>
        </is>
      </c>
      <c r="G1100" s="3" t="inlineStr"/>
      <c r="H1100" s="3" t="inlineStr"/>
      <c r="I1100" s="3" t="inlineStr"/>
      <c r="J1100" s="4" t="inlineStr">
        <is>
          <t>не в рейтинге</t>
        </is>
      </c>
      <c r="K1100" s="4" t="inlineStr">
        <is>
          <t>не в рейтинге</t>
        </is>
      </c>
      <c r="L1100" s="4" t="inlineStr">
        <is>
          <t>нет в опубл. списке (опубликован только топ-15 страны)</t>
        </is>
      </c>
      <c r="M1100" s="4" t="inlineStr">
        <is>
          <t>нет общенационального рейтинга</t>
        </is>
      </c>
      <c r="N1100" s="4" t="inlineStr">
        <is>
          <t>—</t>
        </is>
      </c>
      <c r="O1100" s="4" t="n"/>
      <c r="P1100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1">
      <c r="A1101" s="3" t="inlineStr">
        <is>
          <t>Thailand|Mahasarakham University (MSU)</t>
        </is>
      </c>
      <c r="B1101" s="3" t="inlineStr">
        <is>
          <t>Thailand</t>
        </is>
      </c>
      <c r="C1101" s="3" t="inlineStr">
        <is>
          <t>Махасаракхам (Кантаравичай)</t>
        </is>
      </c>
      <c r="D1101" s="3" t="inlineStr">
        <is>
          <t>Mahasarakham University (MSU)</t>
        </is>
      </c>
      <c r="E1101" s="3" t="inlineStr">
        <is>
          <t>มหาวิทยาลัยมหาสารคาม</t>
        </is>
      </c>
      <c r="F1101" s="3" t="inlineStr">
        <is>
          <t>https://www.msu.ac.th</t>
        </is>
      </c>
      <c r="G1101" s="3" t="inlineStr"/>
      <c r="H1101" s="3" t="inlineStr">
        <is>
          <t>THE2027: 2001+</t>
        </is>
      </c>
      <c r="I1101" s="3" t="inlineStr"/>
      <c r="J1101" s="4" t="inlineStr">
        <is>
          <t>не в рейтинге</t>
        </is>
      </c>
      <c r="K1101" s="4" t="inlineStr">
        <is>
          <t>2001+</t>
        </is>
      </c>
      <c r="L1101" s="4" t="inlineStr">
        <is>
          <t>2015</t>
        </is>
      </c>
      <c r="M1101" s="4" t="inlineStr">
        <is>
          <t>нет общенационального рейтинга</t>
        </is>
      </c>
      <c r="N1101" s="4" t="inlineStr">
        <is>
          <t>—</t>
        </is>
      </c>
      <c r="O1101" s="4" t="inlineStr">
        <is>
          <t>https://www.timeshighereducation.com/world-university-rankings/2027/world-ranking
https://figshare.com/articles/preprint/Ranking_Web_of_Universities_webometrics_info_July_2026_edition/33062150</t>
        </is>
      </c>
      <c r="P1101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2">
      <c r="A1102" s="3" t="inlineStr">
        <is>
          <t>Thailand|Nakhon Ratchasima Rajabhat University</t>
        </is>
      </c>
      <c r="B1102" s="3" t="inlineStr">
        <is>
          <t>Thailand</t>
        </is>
      </c>
      <c r="C1102" s="3" t="inlineStr">
        <is>
          <t>Накхонратчасима</t>
        </is>
      </c>
      <c r="D1102" s="3" t="inlineStr">
        <is>
          <t>Nakhon Ratchasima Rajabhat University</t>
        </is>
      </c>
      <c r="E1102" s="3" t="inlineStr">
        <is>
          <t>มหาวิทยาลัยราชภัฏนครราชสีมา</t>
        </is>
      </c>
      <c r="F1102" s="3" t="inlineStr">
        <is>
          <t>https://www.nrru.ac.th</t>
        </is>
      </c>
      <c r="G1102" s="3" t="inlineStr"/>
      <c r="H1102" s="3" t="inlineStr"/>
      <c r="I1102" s="3" t="inlineStr"/>
      <c r="J1102" s="4" t="inlineStr">
        <is>
          <t>не в рейтинге</t>
        </is>
      </c>
      <c r="K1102" s="4" t="inlineStr">
        <is>
          <t>Reporter</t>
        </is>
      </c>
      <c r="L1102" s="4" t="inlineStr">
        <is>
          <t>нет в опубл. списке (опубликован только топ-15 страны)</t>
        </is>
      </c>
      <c r="M1102" s="4" t="inlineStr">
        <is>
          <t>нет общенационального рейтинга</t>
        </is>
      </c>
      <c r="N1102" s="4" t="inlineStr">
        <is>
          <t>—</t>
        </is>
      </c>
      <c r="O1102" s="4" t="inlineStr">
        <is>
          <t>https://www.timeshighereducation.com/world-university-rankings/2027/world-ranking</t>
        </is>
      </c>
      <c r="P1102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3">
      <c r="A1103" s="3" t="inlineStr">
        <is>
          <t>Thailand|Naresuan University (NU)</t>
        </is>
      </c>
      <c r="B1103" s="3" t="inlineStr">
        <is>
          <t>Thailand</t>
        </is>
      </c>
      <c r="C1103" s="3" t="inlineStr">
        <is>
          <t>Пхитсанулок</t>
        </is>
      </c>
      <c r="D1103" s="3" t="inlineStr">
        <is>
          <t>Naresuan University (NU)</t>
        </is>
      </c>
      <c r="E1103" s="3" t="inlineStr">
        <is>
          <t>มหาวิทยาลัยนเรศวร</t>
        </is>
      </c>
      <c r="F1103" s="3" t="inlineStr">
        <is>
          <t>https://www.nu.ac.th</t>
        </is>
      </c>
      <c r="G1103" s="3" t="inlineStr"/>
      <c r="H1103" s="3" t="inlineStr">
        <is>
          <t>THE2027: 1801–2000</t>
        </is>
      </c>
      <c r="I1103" s="3" t="inlineStr"/>
      <c r="J1103" s="4" t="inlineStr">
        <is>
          <t>не в рейтинге</t>
        </is>
      </c>
      <c r="K1103" s="4" t="inlineStr">
        <is>
          <t>1801–2000</t>
        </is>
      </c>
      <c r="L1103" s="4" t="inlineStr">
        <is>
          <t>нет в опубл. списке (опубликован только топ-15 страны)</t>
        </is>
      </c>
      <c r="M1103" s="4" t="inlineStr">
        <is>
          <t>нет общенационального рейтинга</t>
        </is>
      </c>
      <c r="N1103" s="4" t="inlineStr">
        <is>
          <t>—</t>
        </is>
      </c>
      <c r="O1103" s="4" t="inlineStr">
        <is>
          <t>https://www.timeshighereducation.com/world-university-rankings/2027/world-ranking</t>
        </is>
      </c>
      <c r="P1103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4">
      <c r="A1104" s="3" t="inlineStr">
        <is>
          <t>Thailand|National Astronomical Research Institute of Thailand (Public Organization) (NARIT)</t>
        </is>
      </c>
      <c r="B1104" s="3" t="inlineStr">
        <is>
          <t>Thailand</t>
        </is>
      </c>
      <c r="C1104" s="3" t="inlineStr">
        <is>
          <t>Чиангмай</t>
        </is>
      </c>
      <c r="D1104" s="3" t="inlineStr">
        <is>
          <t>National Astronomical Research Institute of Thailand (Public Organization) (NARIT)</t>
        </is>
      </c>
      <c r="E1104" s="3" t="inlineStr">
        <is>
          <t>สถาบันวิจัยดาราศาสตร์แห่งชาติ (องค์การมหาชน)</t>
        </is>
      </c>
      <c r="F1104" s="3" t="inlineStr">
        <is>
          <t>https://www.narit.or.th</t>
        </is>
      </c>
      <c r="G1104" s="3" t="inlineStr"/>
      <c r="H1104" s="3" t="inlineStr"/>
      <c r="I1104" s="3" t="inlineStr"/>
      <c r="J1104" s="4" t="inlineStr">
        <is>
          <t>не в рейтинге</t>
        </is>
      </c>
      <c r="K1104" s="4" t="inlineStr">
        <is>
          <t>не в рейтинге</t>
        </is>
      </c>
      <c r="L1104" s="4" t="inlineStr">
        <is>
          <t>нет в опубл. списке (опубликован только топ-15 страны)</t>
        </is>
      </c>
      <c r="M1104" s="4" t="inlineStr">
        <is>
          <t>нет общенационального рейтинга</t>
        </is>
      </c>
      <c r="N1104" s="4" t="inlineStr">
        <is>
          <t>—</t>
        </is>
      </c>
      <c r="O1104" s="4" t="n"/>
      <c r="P1104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5">
      <c r="A1105" s="3" t="inlineStr">
        <is>
          <t>Thailand|Rajamangala University of Technology Isan</t>
        </is>
      </c>
      <c r="B1105" s="3" t="inlineStr">
        <is>
          <t>Thailand</t>
        </is>
      </c>
      <c r="C1105" s="3" t="inlineStr">
        <is>
          <t>Накхонратчасима</t>
        </is>
      </c>
      <c r="D1105" s="3" t="inlineStr">
        <is>
          <t>Rajamangala University of Technology Isan</t>
        </is>
      </c>
      <c r="E1105" s="3" t="inlineStr">
        <is>
          <t>มหาวิทยาลัยเทคโนโลยีราชมงคลอีสาน</t>
        </is>
      </c>
      <c r="F1105" s="3" t="inlineStr">
        <is>
          <t>https://www.rmuti.ac.th</t>
        </is>
      </c>
      <c r="G1105" s="3" t="inlineStr"/>
      <c r="H1105" s="3" t="inlineStr"/>
      <c r="I1105" s="3" t="inlineStr"/>
      <c r="J1105" s="4" t="inlineStr">
        <is>
          <t>не в рейтинге</t>
        </is>
      </c>
      <c r="K1105" s="4" t="inlineStr">
        <is>
          <t>не в рейтинге</t>
        </is>
      </c>
      <c r="L1105" s="4" t="inlineStr">
        <is>
          <t>нет в опубл. списке (опубликован только топ-15 страны)</t>
        </is>
      </c>
      <c r="M1105" s="4" t="inlineStr">
        <is>
          <t>нет общенационального рейтинга</t>
        </is>
      </c>
      <c r="N1105" s="4" t="inlineStr">
        <is>
          <t>—</t>
        </is>
      </c>
      <c r="O1105" s="4" t="n"/>
      <c r="P1105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6">
      <c r="A1106" s="3" t="inlineStr">
        <is>
          <t>Thailand|Rajamangala University of Technology Lanna</t>
        </is>
      </c>
      <c r="B1106" s="3" t="inlineStr">
        <is>
          <t>Thailand</t>
        </is>
      </c>
      <c r="C1106" s="3" t="inlineStr">
        <is>
          <t>Чиангмай</t>
        </is>
      </c>
      <c r="D1106" s="3" t="inlineStr">
        <is>
          <t>Rajamangala University of Technology Lanna</t>
        </is>
      </c>
      <c r="E1106" s="3" t="inlineStr">
        <is>
          <t>มหาวิทยาลัยเทคโนโลยีราชมงคลล้านนา</t>
        </is>
      </c>
      <c r="F1106" s="3" t="inlineStr">
        <is>
          <t>https://www.rmutl.ac.th</t>
        </is>
      </c>
      <c r="G1106" s="3" t="inlineStr"/>
      <c r="H1106" s="3" t="inlineStr"/>
      <c r="I1106" s="3" t="inlineStr"/>
      <c r="J1106" s="4" t="inlineStr">
        <is>
          <t>не в рейтинге</t>
        </is>
      </c>
      <c r="K1106" s="4" t="inlineStr">
        <is>
          <t>Reporter</t>
        </is>
      </c>
      <c r="L1106" s="4" t="inlineStr">
        <is>
          <t>нет в опубл. списке (опубликован только топ-15 страны)</t>
        </is>
      </c>
      <c r="M1106" s="4" t="inlineStr">
        <is>
          <t>нет общенационального рейтинга</t>
        </is>
      </c>
      <c r="N1106" s="4" t="inlineStr">
        <is>
          <t>—</t>
        </is>
      </c>
      <c r="O1106" s="4" t="inlineStr">
        <is>
          <t>https://www.timeshighereducation.com/world-university-rankings/2027/world-ranking</t>
        </is>
      </c>
      <c r="P1106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7">
      <c r="A1107" s="3" t="inlineStr">
        <is>
          <t>Thailand|Rajamangala University of Technology Srivijaya</t>
        </is>
      </c>
      <c r="B1107" s="3" t="inlineStr">
        <is>
          <t>Thailand</t>
        </is>
      </c>
      <c r="C1107" s="3" t="inlineStr">
        <is>
          <t>Сонгкхла</t>
        </is>
      </c>
      <c r="D1107" s="3" t="inlineStr">
        <is>
          <t>Rajamangala University of Technology Srivijaya</t>
        </is>
      </c>
      <c r="E1107" s="3" t="inlineStr">
        <is>
          <t>มหาวิทยาลัยเทคโนโลยีราชมงคลศรีวิชัย</t>
        </is>
      </c>
      <c r="F1107" s="3" t="inlineStr">
        <is>
          <t>https://www.rmutsv.ac.th</t>
        </is>
      </c>
      <c r="G1107" s="3" t="inlineStr"/>
      <c r="H1107" s="3" t="inlineStr"/>
      <c r="I1107" s="3" t="inlineStr"/>
      <c r="J1107" s="4" t="inlineStr">
        <is>
          <t>не в рейтинге</t>
        </is>
      </c>
      <c r="K1107" s="4" t="inlineStr">
        <is>
          <t>не в рейтинге</t>
        </is>
      </c>
      <c r="L1107" s="4" t="inlineStr">
        <is>
          <t>нет в опубл. списке (опубликован только топ-15 страны)</t>
        </is>
      </c>
      <c r="M1107" s="4" t="inlineStr">
        <is>
          <t>нет общенационального рейтинга</t>
        </is>
      </c>
      <c r="N1107" s="4" t="inlineStr">
        <is>
          <t>—</t>
        </is>
      </c>
      <c r="O1107" s="4" t="n"/>
      <c r="P1107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8">
      <c r="A1108" s="3" t="inlineStr">
        <is>
          <t>Thailand|Ramkhamhaeng University</t>
        </is>
      </c>
      <c r="B1108" s="3" t="inlineStr">
        <is>
          <t>Thailand</t>
        </is>
      </c>
      <c r="C1108" s="3" t="inlineStr">
        <is>
          <t>Бангкок</t>
        </is>
      </c>
      <c r="D1108" s="3" t="inlineStr">
        <is>
          <t>Ramkhamhaeng University</t>
        </is>
      </c>
      <c r="E1108" s="3" t="inlineStr">
        <is>
          <t>มหาวิทยาลัยรามคำแหง</t>
        </is>
      </c>
      <c r="F1108" s="3" t="inlineStr">
        <is>
          <t>https://www.ru.ac.th</t>
        </is>
      </c>
      <c r="G1108" s="3" t="inlineStr"/>
      <c r="H1108" s="3" t="inlineStr"/>
      <c r="I1108" s="3" t="inlineStr"/>
      <c r="J1108" s="4" t="inlineStr">
        <is>
          <t>не в рейтинге</t>
        </is>
      </c>
      <c r="K1108" s="4" t="inlineStr">
        <is>
          <t>не в рейтинге</t>
        </is>
      </c>
      <c r="L1108" s="4" t="inlineStr">
        <is>
          <t>нет в опубл. списке (опубликован только топ-15 страны)</t>
        </is>
      </c>
      <c r="M1108" s="4" t="inlineStr">
        <is>
          <t>нет общенационального рейтинга</t>
        </is>
      </c>
      <c r="N1108" s="4" t="inlineStr">
        <is>
          <t>—</t>
        </is>
      </c>
      <c r="O1108" s="4" t="n"/>
      <c r="P1108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09">
      <c r="A1109" s="3" t="inlineStr">
        <is>
          <t>Thailand|Rangsit University</t>
        </is>
      </c>
      <c r="B1109" s="3" t="inlineStr">
        <is>
          <t>Thailand</t>
        </is>
      </c>
      <c r="C1109" s="3" t="inlineStr">
        <is>
          <t>Патхумтхани</t>
        </is>
      </c>
      <c r="D1109" s="3" t="inlineStr">
        <is>
          <t>Rangsit University</t>
        </is>
      </c>
      <c r="E1109" s="3" t="inlineStr">
        <is>
          <t>มหาวิทยาลัยรังสิต</t>
        </is>
      </c>
      <c r="F1109" s="3" t="inlineStr">
        <is>
          <t>https://www.rsu.ac.th</t>
        </is>
      </c>
      <c r="G1109" s="3" t="inlineStr"/>
      <c r="H1109" s="3" t="inlineStr">
        <is>
          <t>THE2027: 2001+</t>
        </is>
      </c>
      <c r="I1109" s="3" t="inlineStr"/>
      <c r="J1109" s="4" t="inlineStr">
        <is>
          <t>не в рейтинге</t>
        </is>
      </c>
      <c r="K1109" s="4" t="inlineStr">
        <is>
          <t>2001+</t>
        </is>
      </c>
      <c r="L1109" s="4" t="inlineStr">
        <is>
          <t>нет в опубл. списке (опубликован только топ-15 страны)</t>
        </is>
      </c>
      <c r="M1109" s="4" t="inlineStr">
        <is>
          <t>нет общенационального рейтинга</t>
        </is>
      </c>
      <c r="N1109" s="4" t="inlineStr">
        <is>
          <t>—</t>
        </is>
      </c>
      <c r="O1109" s="4" t="inlineStr">
        <is>
          <t>https://www.timeshighereducation.com/world-university-rankings/2027/world-ranking</t>
        </is>
      </c>
      <c r="P1109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0">
      <c r="A1110" s="3" t="inlineStr">
        <is>
          <t>Thailand|Sakon Nakhon Rajabhat University</t>
        </is>
      </c>
      <c r="B1110" s="3" t="inlineStr">
        <is>
          <t>Thailand</t>
        </is>
      </c>
      <c r="C1110" s="3" t="inlineStr">
        <is>
          <t>Сакон-Након</t>
        </is>
      </c>
      <c r="D1110" s="3" t="inlineStr">
        <is>
          <t>Sakon Nakhon Rajabhat University</t>
        </is>
      </c>
      <c r="E1110" s="3" t="inlineStr">
        <is>
          <t>มหาวิทยาลัยราชภัฏสกลนคร</t>
        </is>
      </c>
      <c r="F1110" s="3" t="inlineStr">
        <is>
          <t>https://www.snru.ac.th</t>
        </is>
      </c>
      <c r="G1110" s="3" t="inlineStr"/>
      <c r="H1110" s="3" t="inlineStr"/>
      <c r="I1110" s="3" t="inlineStr"/>
      <c r="J1110" s="4" t="inlineStr">
        <is>
          <t>не в рейтинге</t>
        </is>
      </c>
      <c r="K1110" s="4" t="inlineStr">
        <is>
          <t>Reporter</t>
        </is>
      </c>
      <c r="L1110" s="4" t="inlineStr">
        <is>
          <t>нет в опубл. списке (опубликован только топ-15 страны)</t>
        </is>
      </c>
      <c r="M1110" s="4" t="inlineStr">
        <is>
          <t>нет общенационального рейтинга</t>
        </is>
      </c>
      <c r="N1110" s="4" t="inlineStr">
        <is>
          <t>—</t>
        </is>
      </c>
      <c r="O1110" s="4" t="inlineStr">
        <is>
          <t>https://www.timeshighereducation.com/world-university-rankings/2027/world-ranking</t>
        </is>
      </c>
      <c r="P1110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1">
      <c r="A1111" s="3" t="inlineStr">
        <is>
          <t>Thailand|Silpakorn University (SU)</t>
        </is>
      </c>
      <c r="B1111" s="3" t="inlineStr">
        <is>
          <t>Thailand</t>
        </is>
      </c>
      <c r="C1111" s="3" t="inlineStr">
        <is>
          <t>Бангкок</t>
        </is>
      </c>
      <c r="D1111" s="3" t="inlineStr">
        <is>
          <t>Silpakorn University (SU)</t>
        </is>
      </c>
      <c r="E1111" s="3" t="inlineStr">
        <is>
          <t>มหาวิทยาลัยศิลปากร</t>
        </is>
      </c>
      <c r="F1111" s="3" t="inlineStr">
        <is>
          <t>https://www.su.ac.th</t>
        </is>
      </c>
      <c r="G1111" s="3" t="inlineStr">
        <is>
          <t>QS2027: 1401+</t>
        </is>
      </c>
      <c r="H1111" s="3" t="inlineStr">
        <is>
          <t>THE2027: 1801–2000</t>
        </is>
      </c>
      <c r="I1111" s="3" t="inlineStr"/>
      <c r="J1111" s="4" t="inlineStr">
        <is>
          <t>1401+</t>
        </is>
      </c>
      <c r="K1111" s="4" t="inlineStr">
        <is>
          <t>1801–2000</t>
        </is>
      </c>
      <c r="L1111" s="4" t="inlineStr">
        <is>
          <t>нет в опубл. списке (опубликован только топ-15 страны)</t>
        </is>
      </c>
      <c r="M1111" s="4" t="inlineStr">
        <is>
          <t>нет общенационального рейтинга</t>
        </is>
      </c>
      <c r="N1111" s="4" t="inlineStr">
        <is>
          <t>—</t>
        </is>
      </c>
      <c r="O1111" s="4" t="inlineStr">
        <is>
          <t>https://www.topuniversities.com/world-university-rankings (QS WUR 2027)
https://www.timeshighereducation.com/world-university-rankings/2027/world-ranking</t>
        </is>
      </c>
      <c r="P1111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2">
      <c r="A1112" s="3" t="inlineStr">
        <is>
          <t>Thailand|Sirindhorn International Institute of Technology, Thammasat University</t>
        </is>
      </c>
      <c r="B1112" s="3" t="inlineStr">
        <is>
          <t>Thailand</t>
        </is>
      </c>
      <c r="C1112" s="3" t="inlineStr">
        <is>
          <t>Патхумтхани (Кхлонглуанг)</t>
        </is>
      </c>
      <c r="D1112" s="3" t="inlineStr">
        <is>
          <t>Sirindhorn International Institute of Technology, Thammasat University</t>
        </is>
      </c>
      <c r="E1112" s="3" t="inlineStr">
        <is>
          <t>สถาบันเทคโนโลยีนานาชาติสิรินธร มหาวิทยาลัยธรรมศาสตร์</t>
        </is>
      </c>
      <c r="F1112" s="3" t="inlineStr">
        <is>
          <t>https://www.siit.tu.ac.th</t>
        </is>
      </c>
      <c r="G1112" s="3" t="inlineStr"/>
      <c r="H1112" s="3" t="inlineStr"/>
      <c r="I1112" s="3" t="inlineStr"/>
      <c r="J1112" s="4" t="inlineStr">
        <is>
          <t>не в рейтинге</t>
        </is>
      </c>
      <c r="K1112" s="4" t="inlineStr">
        <is>
          <t>не в рейтинге</t>
        </is>
      </c>
      <c r="L1112" s="4" t="inlineStr">
        <is>
          <t>нет в опубл. списке (опубликован только топ-15 страны)</t>
        </is>
      </c>
      <c r="M1112" s="4" t="inlineStr">
        <is>
          <t>нет общенационального рейтинга</t>
        </is>
      </c>
      <c r="N1112" s="4" t="inlineStr">
        <is>
          <t>—</t>
        </is>
      </c>
      <c r="O1112" s="4" t="n"/>
      <c r="P1112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3">
      <c r="A1113" s="3" t="inlineStr">
        <is>
          <t>Thailand|Sisaket Rajabhat University</t>
        </is>
      </c>
      <c r="B1113" s="3" t="inlineStr">
        <is>
          <t>Thailand</t>
        </is>
      </c>
      <c r="C1113" s="3" t="inlineStr">
        <is>
          <t>Сисакет</t>
        </is>
      </c>
      <c r="D1113" s="3" t="inlineStr">
        <is>
          <t>Sisaket Rajabhat University</t>
        </is>
      </c>
      <c r="E1113" s="3" t="inlineStr">
        <is>
          <t>มหาวิทยาลัยราชภัฏศรีสะเกษ</t>
        </is>
      </c>
      <c r="F1113" s="3" t="inlineStr">
        <is>
          <t>https://www.sskru.ac.th</t>
        </is>
      </c>
      <c r="G1113" s="3" t="inlineStr"/>
      <c r="H1113" s="3" t="inlineStr"/>
      <c r="I1113" s="3" t="inlineStr"/>
      <c r="J1113" s="4" t="inlineStr">
        <is>
          <t>не в рейтинге</t>
        </is>
      </c>
      <c r="K1113" s="4" t="inlineStr">
        <is>
          <t>Reporter</t>
        </is>
      </c>
      <c r="L1113" s="4" t="inlineStr">
        <is>
          <t>нет в опубл. списке (опубликован только топ-15 страны)</t>
        </is>
      </c>
      <c r="M1113" s="4" t="inlineStr">
        <is>
          <t>нет общенационального рейтинга</t>
        </is>
      </c>
      <c r="N1113" s="4" t="inlineStr">
        <is>
          <t>—</t>
        </is>
      </c>
      <c r="O1113" s="4" t="inlineStr">
        <is>
          <t>https://www.timeshighereducation.com/world-university-rankings/2027/world-ranking</t>
        </is>
      </c>
      <c r="P1113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4">
      <c r="A1114" s="3" t="inlineStr">
        <is>
          <t>Thailand|Sripatum University</t>
        </is>
      </c>
      <c r="B1114" s="3" t="inlineStr">
        <is>
          <t>Thailand</t>
        </is>
      </c>
      <c r="C1114" s="3" t="inlineStr">
        <is>
          <t>Бангкок</t>
        </is>
      </c>
      <c r="D1114" s="3" t="inlineStr">
        <is>
          <t>Sripatum University</t>
        </is>
      </c>
      <c r="E1114" s="3" t="inlineStr">
        <is>
          <t>มหาวิทยาลัยศรีปทุม</t>
        </is>
      </c>
      <c r="F1114" s="3" t="inlineStr">
        <is>
          <t>https://www.spu.ac.th</t>
        </is>
      </c>
      <c r="G1114" s="3" t="inlineStr"/>
      <c r="H1114" s="3" t="inlineStr"/>
      <c r="I1114" s="3" t="inlineStr"/>
      <c r="J1114" s="4" t="inlineStr">
        <is>
          <t>не в рейтинге</t>
        </is>
      </c>
      <c r="K1114" s="4" t="inlineStr">
        <is>
          <t>не в рейтинге</t>
        </is>
      </c>
      <c r="L1114" s="4" t="inlineStr">
        <is>
          <t>нет в опубл. списке (опубликован только топ-15 страны)</t>
        </is>
      </c>
      <c r="M1114" s="4" t="inlineStr">
        <is>
          <t>нет общенационального рейтинга</t>
        </is>
      </c>
      <c r="N1114" s="4" t="inlineStr">
        <is>
          <t>—</t>
        </is>
      </c>
      <c r="O1114" s="4" t="n"/>
      <c r="P1114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5">
      <c r="A1115" s="3" t="inlineStr">
        <is>
          <t>Thailand|Suranaree University of Technology (SUT)</t>
        </is>
      </c>
      <c r="B1115" s="3" t="inlineStr">
        <is>
          <t>Thailand</t>
        </is>
      </c>
      <c r="C1115" s="3" t="inlineStr">
        <is>
          <t>Накхонратчасима</t>
        </is>
      </c>
      <c r="D1115" s="3" t="inlineStr">
        <is>
          <t>Suranaree University of Technology (SUT)</t>
        </is>
      </c>
      <c r="E1115" s="3" t="inlineStr">
        <is>
          <t>มหาวิทยาลัยเทคโนโลยีสุรนารี</t>
        </is>
      </c>
      <c r="F1115" s="3" t="inlineStr">
        <is>
          <t>https://www.sut.ac.th</t>
        </is>
      </c>
      <c r="G1115" s="3" t="inlineStr">
        <is>
          <t>QS2027: 1401+</t>
        </is>
      </c>
      <c r="H1115" s="3" t="inlineStr">
        <is>
          <t>THE2027: 1401–1600</t>
        </is>
      </c>
      <c r="I1115" s="3" t="inlineStr"/>
      <c r="J1115" s="4" t="inlineStr">
        <is>
          <t>1401+</t>
        </is>
      </c>
      <c r="K1115" s="4" t="inlineStr">
        <is>
          <t>1401–1600</t>
        </is>
      </c>
      <c r="L1115" s="4" t="inlineStr">
        <is>
          <t>нет в опубл. списке (опубликован только топ-15 страны)</t>
        </is>
      </c>
      <c r="M1115" s="4" t="inlineStr">
        <is>
          <t>нет общенационального рейтинга</t>
        </is>
      </c>
      <c r="N1115" s="4" t="inlineStr">
        <is>
          <t>—</t>
        </is>
      </c>
      <c r="O1115" s="4" t="inlineStr">
        <is>
          <t>https://www.topuniversities.com/world-university-rankings (QS WUR 2027)
https://www.timeshighereducation.com/world-university-rankings/2027/world-ranking</t>
        </is>
      </c>
      <c r="P1115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6">
      <c r="A1116" s="3" t="inlineStr">
        <is>
          <t>Thailand|Thaksin University</t>
        </is>
      </c>
      <c r="B1116" s="3" t="inlineStr">
        <is>
          <t>Thailand</t>
        </is>
      </c>
      <c r="C1116" s="3" t="inlineStr">
        <is>
          <t>Сонгкхла</t>
        </is>
      </c>
      <c r="D1116" s="3" t="inlineStr">
        <is>
          <t>Thaksin University</t>
        </is>
      </c>
      <c r="E1116" s="3" t="inlineStr">
        <is>
          <t>มหาวิทยาลัยทักษิณ</t>
        </is>
      </c>
      <c r="F1116" s="3" t="inlineStr">
        <is>
          <t>https://www.tsu.ac.th</t>
        </is>
      </c>
      <c r="G1116" s="3" t="inlineStr"/>
      <c r="H1116" s="3" t="inlineStr"/>
      <c r="I1116" s="3" t="inlineStr"/>
      <c r="J1116" s="4" t="inlineStr">
        <is>
          <t>не в рейтинге</t>
        </is>
      </c>
      <c r="K1116" s="4" t="inlineStr">
        <is>
          <t>Reporter</t>
        </is>
      </c>
      <c r="L1116" s="4" t="inlineStr">
        <is>
          <t>нет в опубл. списке (опубликован только топ-15 страны)</t>
        </is>
      </c>
      <c r="M1116" s="4" t="inlineStr">
        <is>
          <t>нет общенационального рейтинга</t>
        </is>
      </c>
      <c r="N1116" s="4" t="inlineStr">
        <is>
          <t>—</t>
        </is>
      </c>
      <c r="O1116" s="4" t="inlineStr">
        <is>
          <t>https://www.timeshighereducation.com/world-university-rankings/2027/world-ranking</t>
        </is>
      </c>
      <c r="P1116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7">
      <c r="A1117" s="3" t="inlineStr">
        <is>
          <t>Thailand|Thammasat University (TU)</t>
        </is>
      </c>
      <c r="B1117" s="3" t="inlineStr">
        <is>
          <t>Thailand</t>
        </is>
      </c>
      <c r="C1117" s="3" t="inlineStr">
        <is>
          <t>Бангкок</t>
        </is>
      </c>
      <c r="D1117" s="3" t="inlineStr">
        <is>
          <t>Thammasat University (TU)</t>
        </is>
      </c>
      <c r="E1117" s="3" t="inlineStr">
        <is>
          <t>มหาวิทยาลัยธรรมศาสตร์</t>
        </is>
      </c>
      <c r="F1117" s="3" t="inlineStr">
        <is>
          <t>https://tu.ac.th</t>
        </is>
      </c>
      <c r="G1117" s="3" t="inlineStr">
        <is>
          <t>QS2027: 555</t>
        </is>
      </c>
      <c r="H1117" s="3" t="inlineStr">
        <is>
          <t>THE2027: 1401–1600</t>
        </is>
      </c>
      <c r="I1117" s="3" t="inlineStr"/>
      <c r="J1117" s="4">
        <f>555</f>
        <v/>
      </c>
      <c r="K1117" s="4" t="inlineStr">
        <is>
          <t>1401–1600</t>
        </is>
      </c>
      <c r="L1117" s="4" t="inlineStr">
        <is>
          <t>972</t>
        </is>
      </c>
      <c r="M1117" s="4" t="inlineStr">
        <is>
          <t>нет общенационального рейтинга</t>
        </is>
      </c>
      <c r="N1117" s="4" t="inlineStr">
        <is>
          <t>—</t>
        </is>
      </c>
      <c r="O111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117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8">
      <c r="A1118" s="3" t="inlineStr">
        <is>
          <t>Thailand|Ubon Ratchathani University (UBU)</t>
        </is>
      </c>
      <c r="B1118" s="3" t="inlineStr">
        <is>
          <t>Thailand</t>
        </is>
      </c>
      <c r="C1118" s="3" t="inlineStr">
        <is>
          <t>Убонратчатхани (Варинчамрап)</t>
        </is>
      </c>
      <c r="D1118" s="3" t="inlineStr">
        <is>
          <t>Ubon Ratchathani University (UBU)</t>
        </is>
      </c>
      <c r="E1118" s="3" t="inlineStr">
        <is>
          <t>มหาวิทยาลัยอุบลราชธานี</t>
        </is>
      </c>
      <c r="F1118" s="3" t="inlineStr">
        <is>
          <t>https://www.ubu.ac.th</t>
        </is>
      </c>
      <c r="G1118" s="3" t="inlineStr"/>
      <c r="H1118" s="3" t="inlineStr">
        <is>
          <t>THE2027: 1601–1800</t>
        </is>
      </c>
      <c r="I1118" s="3" t="inlineStr"/>
      <c r="J1118" s="4" t="inlineStr">
        <is>
          <t>не в рейтинге</t>
        </is>
      </c>
      <c r="K1118" s="4" t="inlineStr">
        <is>
          <t>1601–1800</t>
        </is>
      </c>
      <c r="L1118" s="4" t="inlineStr">
        <is>
          <t>нет в опубл. списке (опубликован только топ-15 страны)</t>
        </is>
      </c>
      <c r="M1118" s="4" t="inlineStr">
        <is>
          <t>нет общенационального рейтинга</t>
        </is>
      </c>
      <c r="N1118" s="4" t="inlineStr">
        <is>
          <t>—</t>
        </is>
      </c>
      <c r="O1118" s="4" t="inlineStr">
        <is>
          <t>https://www.timeshighereducation.com/world-university-rankings/2027/world-ranking</t>
        </is>
      </c>
      <c r="P1118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19">
      <c r="A1119" s="3" t="inlineStr">
        <is>
          <t>Thailand|Udon Thani Rajabhat University</t>
        </is>
      </c>
      <c r="B1119" s="3" t="inlineStr">
        <is>
          <t>Thailand</t>
        </is>
      </c>
      <c r="C1119" s="3" t="inlineStr">
        <is>
          <t>Удонтхани</t>
        </is>
      </c>
      <c r="D1119" s="3" t="inlineStr">
        <is>
          <t>Udon Thani Rajabhat University</t>
        </is>
      </c>
      <c r="E1119" s="3" t="inlineStr">
        <is>
          <t>มหาวิทยาลัยราชภัฏอุดรธานี</t>
        </is>
      </c>
      <c r="F1119" s="3" t="inlineStr">
        <is>
          <t>https://www.udru.ac.th</t>
        </is>
      </c>
      <c r="G1119" s="3" t="inlineStr"/>
      <c r="H1119" s="3" t="inlineStr"/>
      <c r="I1119" s="3" t="inlineStr"/>
      <c r="J1119" s="4" t="inlineStr">
        <is>
          <t>не в рейтинге</t>
        </is>
      </c>
      <c r="K1119" s="4" t="inlineStr">
        <is>
          <t>Reporter</t>
        </is>
      </c>
      <c r="L1119" s="4" t="inlineStr">
        <is>
          <t>нет в опубл. списке (опубликован только топ-15 страны)</t>
        </is>
      </c>
      <c r="M1119" s="4" t="inlineStr">
        <is>
          <t>нет общенационального рейтинга</t>
        </is>
      </c>
      <c r="N1119" s="4" t="inlineStr">
        <is>
          <t>—</t>
        </is>
      </c>
      <c r="O1119" s="4" t="inlineStr">
        <is>
          <t>https://www.timeshighereducation.com/world-university-rankings/2027/world-ranking</t>
        </is>
      </c>
      <c r="P1119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20">
      <c r="A1120" s="3" t="inlineStr">
        <is>
          <t>Thailand|University of the Thai Chamber of Commerce</t>
        </is>
      </c>
      <c r="B1120" s="3" t="inlineStr">
        <is>
          <t>Thailand</t>
        </is>
      </c>
      <c r="C1120" s="3" t="inlineStr">
        <is>
          <t>Бангкок</t>
        </is>
      </c>
      <c r="D1120" s="3" t="inlineStr">
        <is>
          <t>University of the Thai Chamber of Commerce</t>
        </is>
      </c>
      <c r="E1120" s="3" t="inlineStr">
        <is>
          <t>มหาวิทยาลัยหอการค้าไทย</t>
        </is>
      </c>
      <c r="F1120" s="3" t="inlineStr">
        <is>
          <t>https://www.utcc.ac.th</t>
        </is>
      </c>
      <c r="G1120" s="3" t="inlineStr"/>
      <c r="H1120" s="3" t="inlineStr"/>
      <c r="I1120" s="3" t="inlineStr"/>
      <c r="J1120" s="4" t="inlineStr">
        <is>
          <t>не в рейтинге</t>
        </is>
      </c>
      <c r="K1120" s="4" t="inlineStr">
        <is>
          <t>Reporter</t>
        </is>
      </c>
      <c r="L1120" s="4" t="inlineStr">
        <is>
          <t>нет в опубл. списке (опубликован только топ-15 страны)</t>
        </is>
      </c>
      <c r="M1120" s="4" t="inlineStr">
        <is>
          <t>нет общенационального рейтинга</t>
        </is>
      </c>
      <c r="N1120" s="4" t="inlineStr">
        <is>
          <t>—</t>
        </is>
      </c>
      <c r="O1120" s="4" t="inlineStr">
        <is>
          <t>https://www.timeshighereducation.com/world-university-rankings/2027/world-ranking</t>
        </is>
      </c>
      <c r="P1120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21">
      <c r="A1121" s="3" t="inlineStr">
        <is>
          <t>Thailand|Walailak University</t>
        </is>
      </c>
      <c r="B1121" s="3" t="inlineStr">
        <is>
          <t>Thailand</t>
        </is>
      </c>
      <c r="C1121" s="3" t="inlineStr">
        <is>
          <t>Накхонситхаммарат (Тхасала)</t>
        </is>
      </c>
      <c r="D1121" s="3" t="inlineStr">
        <is>
          <t>Walailak University</t>
        </is>
      </c>
      <c r="E1121" s="3" t="inlineStr">
        <is>
          <t>มหาวิทยาลัยวลัยลักษณ์</t>
        </is>
      </c>
      <c r="F1121" s="3" t="inlineStr">
        <is>
          <t>https://www.wu.ac.th</t>
        </is>
      </c>
      <c r="G1121" s="3" t="inlineStr">
        <is>
          <t>QS2027: 1401+</t>
        </is>
      </c>
      <c r="H1121" s="3" t="inlineStr">
        <is>
          <t>THE2027: 1001–1200</t>
        </is>
      </c>
      <c r="I1121" s="3" t="inlineStr"/>
      <c r="J1121" s="4" t="inlineStr">
        <is>
          <t>1401+</t>
        </is>
      </c>
      <c r="K1121" s="4" t="inlineStr">
        <is>
          <t>1001–1200</t>
        </is>
      </c>
      <c r="L1121" s="4" t="inlineStr">
        <is>
          <t>1664</t>
        </is>
      </c>
      <c r="M1121" s="4" t="inlineStr">
        <is>
          <t>нет общенационального рейтинга</t>
        </is>
      </c>
      <c r="N1121" s="4" t="inlineStr">
        <is>
          <t>—</t>
        </is>
      </c>
      <c r="O112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121" s="4" t="inlineStr">
        <is>
          <t>Национального рейтинга с местами нет: MHESI/OHEC/ONESQA и др. рейтинг вузов Таиланда с местами не публикуют.</t>
        </is>
      </c>
    </row>
    <row r="1122">
      <c r="A1122" s="3" t="inlineStr">
        <is>
          <t>Uganda|Busitema University</t>
        </is>
      </c>
      <c r="B1122" s="3" t="inlineStr">
        <is>
          <t>Uganda</t>
        </is>
      </c>
      <c r="C1122" s="3" t="inlineStr">
        <is>
          <t>Тороро</t>
        </is>
      </c>
      <c r="D1122" s="3" t="inlineStr">
        <is>
          <t>Busitema University</t>
        </is>
      </c>
      <c r="E1122" s="3" t="inlineStr">
        <is>
          <t>Busitema University</t>
        </is>
      </c>
      <c r="F1122" s="3" t="inlineStr">
        <is>
          <t>https://busitema.ac.ug</t>
        </is>
      </c>
      <c r="G1122" s="3" t="inlineStr"/>
      <c r="H1122" s="3" t="inlineStr"/>
      <c r="I1122" s="3" t="inlineStr"/>
      <c r="J1122" s="4" t="inlineStr">
        <is>
          <t>не в рейтинге</t>
        </is>
      </c>
      <c r="K1122" s="4" t="inlineStr">
        <is>
          <t>не в рейтинге</t>
        </is>
      </c>
      <c r="L1122" s="4" t="inlineStr">
        <is>
          <t>5060</t>
        </is>
      </c>
      <c r="M1122" s="4" t="inlineStr">
        <is>
          <t>нет общенационального рейтинга</t>
        </is>
      </c>
      <c r="N1122" s="4" t="inlineStr">
        <is>
          <t>—</t>
        </is>
      </c>
      <c r="O1122" s="4" t="inlineStr">
        <is>
          <t>https://figshare.com/articles/preprint/Ranking_Web_of_Universities_webometrics_info_July_2026_edition/33062150</t>
        </is>
      </c>
      <c r="P1122" s="4" t="inlineStr">
        <is>
          <t>Национального рейтинга нет: NCHE (регулятор/аккредитация) рейтингов не публикует.</t>
        </is>
      </c>
    </row>
    <row r="1123">
      <c r="A1123" s="3" t="inlineStr">
        <is>
          <t>Uganda|Gulu University</t>
        </is>
      </c>
      <c r="B1123" s="3" t="inlineStr">
        <is>
          <t>Uganda</t>
        </is>
      </c>
      <c r="C1123" s="3" t="inlineStr">
        <is>
          <t>Гулу</t>
        </is>
      </c>
      <c r="D1123" s="3" t="inlineStr">
        <is>
          <t>Gulu University</t>
        </is>
      </c>
      <c r="E1123" s="3" t="inlineStr">
        <is>
          <t>Gulu University</t>
        </is>
      </c>
      <c r="F1123" s="3" t="inlineStr">
        <is>
          <t>https://gu.ac.ug</t>
        </is>
      </c>
      <c r="G1123" s="3" t="inlineStr"/>
      <c r="H1123" s="3" t="inlineStr"/>
      <c r="I1123" s="3" t="inlineStr"/>
      <c r="J1123" s="4" t="inlineStr">
        <is>
          <t>не в рейтинге</t>
        </is>
      </c>
      <c r="K1123" s="4" t="inlineStr">
        <is>
          <t>не в рейтинге</t>
        </is>
      </c>
      <c r="L1123" s="4" t="inlineStr">
        <is>
          <t>4517</t>
        </is>
      </c>
      <c r="M1123" s="4" t="inlineStr">
        <is>
          <t>нет общенационального рейтинга</t>
        </is>
      </c>
      <c r="N1123" s="4" t="inlineStr">
        <is>
          <t>—</t>
        </is>
      </c>
      <c r="O1123" s="4" t="inlineStr">
        <is>
          <t>https://figshare.com/articles/preprint/Ranking_Web_of_Universities_webometrics_info_July_2026_edition/33062150</t>
        </is>
      </c>
      <c r="P1123" s="4" t="inlineStr">
        <is>
          <t>Национального рейтинга нет: NCHE (регулятор/аккредитация) рейтингов не публикует.</t>
        </is>
      </c>
    </row>
    <row r="1124">
      <c r="A1124" s="3" t="inlineStr">
        <is>
          <t>Uganda|Islamic University in Uganda (IUIU)</t>
        </is>
      </c>
      <c r="B1124" s="3" t="inlineStr">
        <is>
          <t>Uganda</t>
        </is>
      </c>
      <c r="C1124" s="3" t="inlineStr">
        <is>
          <t>Мбале</t>
        </is>
      </c>
      <c r="D1124" s="3" t="inlineStr">
        <is>
          <t>Islamic University in Uganda (IUIU)</t>
        </is>
      </c>
      <c r="E1124" s="3" t="inlineStr">
        <is>
          <t>Islamic University in Uganda</t>
        </is>
      </c>
      <c r="F1124" s="3" t="inlineStr">
        <is>
          <t>https://iuiu.ac.ug</t>
        </is>
      </c>
      <c r="G1124" s="3" t="inlineStr"/>
      <c r="H1124" s="3" t="inlineStr"/>
      <c r="I1124" s="3" t="inlineStr"/>
      <c r="J1124" s="4" t="inlineStr">
        <is>
          <t>не в рейтинге</t>
        </is>
      </c>
      <c r="K1124" s="4" t="inlineStr">
        <is>
          <t>не в рейтинге</t>
        </is>
      </c>
      <c r="L1124" s="4" t="inlineStr">
        <is>
          <t>6129</t>
        </is>
      </c>
      <c r="M1124" s="4" t="inlineStr">
        <is>
          <t>нет общенационального рейтинга</t>
        </is>
      </c>
      <c r="N1124" s="4" t="inlineStr">
        <is>
          <t>—</t>
        </is>
      </c>
      <c r="O1124" s="4" t="inlineStr">
        <is>
          <t>https://figshare.com/articles/preprint/Ranking_Web_of_Universities_webometrics_info_July_2026_edition/33062150</t>
        </is>
      </c>
      <c r="P1124" s="4" t="inlineStr">
        <is>
          <t>Национального рейтинга нет: NCHE (регулятор/аккредитация) рейтингов не публикует.</t>
        </is>
      </c>
    </row>
    <row r="1125">
      <c r="A1125" s="3" t="inlineStr">
        <is>
          <t>Uganda|Kabale University</t>
        </is>
      </c>
      <c r="B1125" s="3" t="inlineStr">
        <is>
          <t>Uganda</t>
        </is>
      </c>
      <c r="C1125" s="3" t="inlineStr">
        <is>
          <t>Кабале</t>
        </is>
      </c>
      <c r="D1125" s="3" t="inlineStr">
        <is>
          <t>Kabale University</t>
        </is>
      </c>
      <c r="E1125" s="3" t="inlineStr">
        <is>
          <t>Kabale University</t>
        </is>
      </c>
      <c r="F1125" s="3" t="inlineStr">
        <is>
          <t>https://www.kab.ac.ug</t>
        </is>
      </c>
      <c r="G1125" s="3" t="inlineStr"/>
      <c r="H1125" s="3" t="inlineStr"/>
      <c r="I1125" s="3" t="inlineStr"/>
      <c r="J1125" s="4" t="inlineStr">
        <is>
          <t>не в рейтинге</t>
        </is>
      </c>
      <c r="K1125" s="4" t="inlineStr">
        <is>
          <t>не в рейтинге</t>
        </is>
      </c>
      <c r="L1125" s="4" t="inlineStr">
        <is>
          <t>4978</t>
        </is>
      </c>
      <c r="M1125" s="4" t="inlineStr">
        <is>
          <t>нет общенационального рейтинга</t>
        </is>
      </c>
      <c r="N1125" s="4" t="inlineStr">
        <is>
          <t>—</t>
        </is>
      </c>
      <c r="O1125" s="4" t="inlineStr">
        <is>
          <t>https://figshare.com/articles/preprint/Ranking_Web_of_Universities_webometrics_info_July_2026_edition/33062150</t>
        </is>
      </c>
      <c r="P1125" s="4" t="inlineStr">
        <is>
          <t>Национального рейтинга нет: NCHE (регулятор/аккредитация) рейтингов не публикует.</t>
        </is>
      </c>
    </row>
    <row r="1126">
      <c r="A1126" s="3" t="inlineStr">
        <is>
          <t>Uganda|Kampala International University</t>
        </is>
      </c>
      <c r="B1126" s="3" t="inlineStr">
        <is>
          <t>Uganda</t>
        </is>
      </c>
      <c r="C1126" s="3" t="inlineStr">
        <is>
          <t>Кампала</t>
        </is>
      </c>
      <c r="D1126" s="3" t="inlineStr">
        <is>
          <t>Kampala International University</t>
        </is>
      </c>
      <c r="E1126" s="3" t="inlineStr">
        <is>
          <t>Kampala International University</t>
        </is>
      </c>
      <c r="F1126" s="3" t="inlineStr">
        <is>
          <t>https://kiu.ac.ug</t>
        </is>
      </c>
      <c r="G1126" s="3" t="inlineStr"/>
      <c r="H1126" s="3" t="inlineStr"/>
      <c r="I1126" s="3" t="inlineStr"/>
      <c r="J1126" s="4" t="inlineStr">
        <is>
          <t>не в рейтинге</t>
        </is>
      </c>
      <c r="K1126" s="4" t="inlineStr">
        <is>
          <t>не в рейтинге</t>
        </is>
      </c>
      <c r="L1126" s="4" t="inlineStr">
        <is>
          <t>нет в опубл. списке (опубликован только топ-15 страны)</t>
        </is>
      </c>
      <c r="M1126" s="4" t="inlineStr">
        <is>
          <t>нет общенационального рейтинга</t>
        </is>
      </c>
      <c r="N1126" s="4" t="inlineStr">
        <is>
          <t>—</t>
        </is>
      </c>
      <c r="O1126" s="4" t="n"/>
      <c r="P1126" s="4" t="inlineStr">
        <is>
          <t>Национального рейтинга нет: NCHE (регулятор/аккредитация) рейтингов не публикует.</t>
        </is>
      </c>
    </row>
    <row r="1127">
      <c r="A1127" s="3" t="inlineStr">
        <is>
          <t>Uganda|Kyambogo University</t>
        </is>
      </c>
      <c r="B1127" s="3" t="inlineStr">
        <is>
          <t>Uganda</t>
        </is>
      </c>
      <c r="C1127" s="3" t="inlineStr">
        <is>
          <t>Кампала</t>
        </is>
      </c>
      <c r="D1127" s="3" t="inlineStr">
        <is>
          <t>Kyambogo University</t>
        </is>
      </c>
      <c r="E1127" s="3" t="inlineStr">
        <is>
          <t>Kyambogo University</t>
        </is>
      </c>
      <c r="F1127" s="3" t="inlineStr">
        <is>
          <t>https://kyu.ac.ug</t>
        </is>
      </c>
      <c r="G1127" s="3" t="inlineStr"/>
      <c r="H1127" s="3" t="inlineStr"/>
      <c r="I1127" s="3" t="inlineStr"/>
      <c r="J1127" s="4" t="inlineStr">
        <is>
          <t>не в рейтинге</t>
        </is>
      </c>
      <c r="K1127" s="4" t="inlineStr">
        <is>
          <t>не в рейтинге</t>
        </is>
      </c>
      <c r="L1127" s="4" t="inlineStr">
        <is>
          <t>4467</t>
        </is>
      </c>
      <c r="M1127" s="4" t="inlineStr">
        <is>
          <t>нет общенационального рейтинга</t>
        </is>
      </c>
      <c r="N1127" s="4" t="inlineStr">
        <is>
          <t>—</t>
        </is>
      </c>
      <c r="O1127" s="4" t="inlineStr">
        <is>
          <t>https://figshare.com/articles/preprint/Ranking_Web_of_Universities_webometrics_info_July_2026_edition/33062150</t>
        </is>
      </c>
      <c r="P1127" s="4" t="inlineStr">
        <is>
          <t>Национального рейтинга нет: NCHE (регулятор/аккредитация) рейтингов не публикует.</t>
        </is>
      </c>
    </row>
    <row r="1128">
      <c r="A1128" s="3" t="inlineStr">
        <is>
          <t>Uganda|Lira University</t>
        </is>
      </c>
      <c r="B1128" s="3" t="inlineStr">
        <is>
          <t>Uganda</t>
        </is>
      </c>
      <c r="C1128" s="3" t="inlineStr">
        <is>
          <t>Лира</t>
        </is>
      </c>
      <c r="D1128" s="3" t="inlineStr">
        <is>
          <t>Lira University</t>
        </is>
      </c>
      <c r="E1128" s="3" t="inlineStr">
        <is>
          <t>Lira University</t>
        </is>
      </c>
      <c r="F1128" s="3" t="inlineStr">
        <is>
          <t>https://lirauni.ac.ug</t>
        </is>
      </c>
      <c r="G1128" s="3" t="inlineStr"/>
      <c r="H1128" s="3" t="inlineStr"/>
      <c r="I1128" s="3" t="inlineStr"/>
      <c r="J1128" s="4" t="inlineStr">
        <is>
          <t>не в рейтинге</t>
        </is>
      </c>
      <c r="K1128" s="4" t="inlineStr">
        <is>
          <t>не в рейтинге</t>
        </is>
      </c>
      <c r="L1128" s="4" t="inlineStr">
        <is>
          <t>нет в опубл. списке (опубликован только топ-15 страны)</t>
        </is>
      </c>
      <c r="M1128" s="4" t="inlineStr">
        <is>
          <t>нет общенационального рейтинга</t>
        </is>
      </c>
      <c r="N1128" s="4" t="inlineStr">
        <is>
          <t>—</t>
        </is>
      </c>
      <c r="O1128" s="4" t="n"/>
      <c r="P1128" s="4" t="inlineStr">
        <is>
          <t>Национального рейтинга нет: NCHE (регулятор/аккредитация) рейтингов не публикует.</t>
        </is>
      </c>
    </row>
    <row r="1129">
      <c r="A1129" s="3" t="inlineStr">
        <is>
          <t>Uganda|Makerere University</t>
        </is>
      </c>
      <c r="B1129" s="3" t="inlineStr">
        <is>
          <t>Uganda</t>
        </is>
      </c>
      <c r="C1129" s="3" t="inlineStr">
        <is>
          <t>Кампала</t>
        </is>
      </c>
      <c r="D1129" s="3" t="inlineStr">
        <is>
          <t>Makerere University</t>
        </is>
      </c>
      <c r="E1129" s="3" t="inlineStr">
        <is>
          <t>Makerere University</t>
        </is>
      </c>
      <c r="F1129" s="3" t="inlineStr">
        <is>
          <t>https://www.mak.ac.ug</t>
        </is>
      </c>
      <c r="G1129" s="3" t="inlineStr"/>
      <c r="H1129" s="3" t="inlineStr">
        <is>
          <t>THE2027: 801–1000</t>
        </is>
      </c>
      <c r="I1129" s="3" t="inlineStr"/>
      <c r="J1129" s="4" t="inlineStr">
        <is>
          <t>1001–1200</t>
        </is>
      </c>
      <c r="K1129" s="4" t="inlineStr">
        <is>
          <t>801–1000</t>
        </is>
      </c>
      <c r="L1129" s="4" t="inlineStr">
        <is>
          <t>949</t>
        </is>
      </c>
      <c r="M1129" s="4" t="inlineStr">
        <is>
          <t>нет общенационального рейтинга</t>
        </is>
      </c>
      <c r="N1129" s="4" t="inlineStr">
        <is>
          <t>—</t>
        </is>
      </c>
      <c r="O112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P1129" s="4" t="inlineStr">
        <is>
          <t>Национального рейтинга нет: NCHE (регулятор/аккредитация) рейтингов не публикует.</t>
        </is>
      </c>
    </row>
    <row r="1130">
      <c r="A1130" s="3" t="inlineStr">
        <is>
          <t>Uganda|Mbarara University of Science and Technology</t>
        </is>
      </c>
      <c r="B1130" s="3" t="inlineStr">
        <is>
          <t>Uganda</t>
        </is>
      </c>
      <c r="C1130" s="3" t="inlineStr">
        <is>
          <t>Мбарара</t>
        </is>
      </c>
      <c r="D1130" s="3" t="inlineStr">
        <is>
          <t>Mbarara University of Science and Technology</t>
        </is>
      </c>
      <c r="E1130" s="3" t="inlineStr">
        <is>
          <t>Mbarara University of Science and Technology</t>
        </is>
      </c>
      <c r="F1130" s="3" t="inlineStr">
        <is>
          <t>https://www.must.ac.ug</t>
        </is>
      </c>
      <c r="G1130" s="3" t="inlineStr"/>
      <c r="H1130" s="3" t="inlineStr">
        <is>
          <t>THE2027: 1601–1800</t>
        </is>
      </c>
      <c r="I1130" s="3" t="inlineStr"/>
      <c r="J1130" s="4" t="inlineStr">
        <is>
          <t>не в рейтинге</t>
        </is>
      </c>
      <c r="K1130" s="4" t="inlineStr">
        <is>
          <t>1601–1800</t>
        </is>
      </c>
      <c r="L1130" s="4" t="inlineStr">
        <is>
          <t>3552</t>
        </is>
      </c>
      <c r="M1130" s="4" t="inlineStr">
        <is>
          <t>нет общенационального рейтинга</t>
        </is>
      </c>
      <c r="N1130" s="4" t="inlineStr">
        <is>
          <t>—</t>
        </is>
      </c>
      <c r="O1130" s="4" t="inlineStr">
        <is>
          <t>https://www.timeshighereducation.com/world-university-rankings/2027/world-ranking
https://figshare.com/articles/preprint/Ranking_Web_of_Universities_webometrics_info_July_2026_edition/33062150</t>
        </is>
      </c>
      <c r="P1130" s="4" t="inlineStr">
        <is>
          <t>Национального рейтинга нет: NCHE (регулятор/аккредитация) рейтингов не публикует.</t>
        </is>
      </c>
    </row>
    <row r="1131">
      <c r="A1131" s="3" t="inlineStr">
        <is>
          <t>Uganda|Mountains of the Moon University</t>
        </is>
      </c>
      <c r="B1131" s="3" t="inlineStr">
        <is>
          <t>Uganda</t>
        </is>
      </c>
      <c r="C1131" s="3" t="inlineStr">
        <is>
          <t>Форт-Портал</t>
        </is>
      </c>
      <c r="D1131" s="3" t="inlineStr">
        <is>
          <t>Mountains of the Moon University</t>
        </is>
      </c>
      <c r="E1131" s="3" t="inlineStr">
        <is>
          <t>Mountains of the Moon University</t>
        </is>
      </c>
      <c r="F1131" s="3" t="inlineStr">
        <is>
          <t>https://mmu.ac.ug</t>
        </is>
      </c>
      <c r="G1131" s="3" t="inlineStr"/>
      <c r="H1131" s="3" t="inlineStr"/>
      <c r="I1131" s="3" t="inlineStr"/>
      <c r="J1131" s="4" t="inlineStr">
        <is>
          <t>не в рейтинге</t>
        </is>
      </c>
      <c r="K1131" s="4" t="inlineStr">
        <is>
          <t>не в рейтинге</t>
        </is>
      </c>
      <c r="L1131" s="4" t="inlineStr">
        <is>
          <t>7172</t>
        </is>
      </c>
      <c r="M1131" s="4" t="inlineStr">
        <is>
          <t>нет общенационального рейтинга</t>
        </is>
      </c>
      <c r="N1131" s="4" t="inlineStr">
        <is>
          <t>—</t>
        </is>
      </c>
      <c r="O1131" s="4" t="inlineStr">
        <is>
          <t>https://figshare.com/articles/preprint/Ranking_Web_of_Universities_webometrics_info_July_2026_edition/33062150</t>
        </is>
      </c>
      <c r="P1131" s="4" t="inlineStr">
        <is>
          <t>Национального рейтинга нет: NCHE (регулятор/аккредитация) рейтингов не публикует.</t>
        </is>
      </c>
    </row>
    <row r="1132">
      <c r="A1132" s="3" t="inlineStr">
        <is>
          <t>Uganda|Muni University</t>
        </is>
      </c>
      <c r="B1132" s="3" t="inlineStr">
        <is>
          <t>Uganda</t>
        </is>
      </c>
      <c r="C1132" s="3" t="inlineStr">
        <is>
          <t>Аруа</t>
        </is>
      </c>
      <c r="D1132" s="3" t="inlineStr">
        <is>
          <t>Muni University</t>
        </is>
      </c>
      <c r="E1132" s="3" t="inlineStr">
        <is>
          <t>Muni University</t>
        </is>
      </c>
      <c r="F1132" s="3" t="inlineStr">
        <is>
          <t>https://muni.ac.ug</t>
        </is>
      </c>
      <c r="G1132" s="3" t="inlineStr"/>
      <c r="H1132" s="3" t="inlineStr"/>
      <c r="I1132" s="3" t="inlineStr"/>
      <c r="J1132" s="4" t="inlineStr">
        <is>
          <t>не в рейтинге</t>
        </is>
      </c>
      <c r="K1132" s="4" t="inlineStr">
        <is>
          <t>не в рейтинге</t>
        </is>
      </c>
      <c r="L1132" s="4" t="inlineStr">
        <is>
          <t>нет в опубл. списке (опубликован только топ-15 страны)</t>
        </is>
      </c>
      <c r="M1132" s="4" t="inlineStr">
        <is>
          <t>нет общенационального рейтинга</t>
        </is>
      </c>
      <c r="N1132" s="4" t="inlineStr">
        <is>
          <t>—</t>
        </is>
      </c>
      <c r="O1132" s="4" t="n"/>
      <c r="P1132" s="4" t="inlineStr">
        <is>
          <t>Национального рейтинга нет: NCHE (регулятор/аккредитация) рейтингов не публикует.</t>
        </is>
      </c>
    </row>
    <row r="1133">
      <c r="A1133" s="3" t="inlineStr">
        <is>
          <t>Uganda|Ndejje University</t>
        </is>
      </c>
      <c r="B1133" s="3" t="inlineStr">
        <is>
          <t>Uganda</t>
        </is>
      </c>
      <c r="C1133" s="3" t="inlineStr">
        <is>
          <t>Кампала</t>
        </is>
      </c>
      <c r="D1133" s="3" t="inlineStr">
        <is>
          <t>Ndejje University</t>
        </is>
      </c>
      <c r="E1133" s="3" t="inlineStr">
        <is>
          <t>Ndejje University</t>
        </is>
      </c>
      <c r="F1133" s="3" t="inlineStr">
        <is>
          <t>https://ndejjeuniversity.ac.ug</t>
        </is>
      </c>
      <c r="G1133" s="3" t="inlineStr"/>
      <c r="H1133" s="3" t="inlineStr"/>
      <c r="I1133" s="3" t="inlineStr"/>
      <c r="J1133" s="4" t="inlineStr">
        <is>
          <t>не в рейтинге</t>
        </is>
      </c>
      <c r="K1133" s="4" t="inlineStr">
        <is>
          <t>не в рейтинге</t>
        </is>
      </c>
      <c r="L1133" s="4" t="inlineStr">
        <is>
          <t>7271</t>
        </is>
      </c>
      <c r="M1133" s="4" t="inlineStr">
        <is>
          <t>нет общенационального рейтинга</t>
        </is>
      </c>
      <c r="N1133" s="4" t="inlineStr">
        <is>
          <t>—</t>
        </is>
      </c>
      <c r="O1133" s="4" t="inlineStr">
        <is>
          <t>https://figshare.com/articles/preprint/Ranking_Web_of_Universities_webometrics_info_July_2026_edition/33062150</t>
        </is>
      </c>
      <c r="P1133" s="4" t="inlineStr">
        <is>
          <t>Национального рейтинга нет: NCHE (регулятор/аккредитация) рейтингов не публикует.</t>
        </is>
      </c>
    </row>
    <row r="1134">
      <c r="A1134" s="3" t="inlineStr">
        <is>
          <t>Uganda|Soroti University</t>
        </is>
      </c>
      <c r="B1134" s="3" t="inlineStr">
        <is>
          <t>Uganda</t>
        </is>
      </c>
      <c r="C1134" s="3" t="inlineStr">
        <is>
          <t>Сороти</t>
        </is>
      </c>
      <c r="D1134" s="3" t="inlineStr">
        <is>
          <t>Soroti University</t>
        </is>
      </c>
      <c r="E1134" s="3" t="inlineStr">
        <is>
          <t>Soroti University</t>
        </is>
      </c>
      <c r="F1134" s="3" t="inlineStr">
        <is>
          <t>https://sun.ac.ug</t>
        </is>
      </c>
      <c r="G1134" s="3" t="inlineStr"/>
      <c r="H1134" s="3" t="inlineStr"/>
      <c r="I1134" s="3" t="inlineStr"/>
      <c r="J1134" s="4" t="inlineStr">
        <is>
          <t>не в рейтинге</t>
        </is>
      </c>
      <c r="K1134" s="4" t="inlineStr">
        <is>
          <t>не в рейтинге</t>
        </is>
      </c>
      <c r="L1134" s="4" t="inlineStr">
        <is>
          <t>нет в опубл. списке (опубликован только топ-15 страны)</t>
        </is>
      </c>
      <c r="M1134" s="4" t="inlineStr">
        <is>
          <t>нет общенационального рейтинга</t>
        </is>
      </c>
      <c r="N1134" s="4" t="inlineStr">
        <is>
          <t>—</t>
        </is>
      </c>
      <c r="O1134" s="4" t="n"/>
      <c r="P1134" s="4" t="inlineStr">
        <is>
          <t>Национального рейтинга нет: NCHE (регулятор/аккредитация) рейтингов не публикует.</t>
        </is>
      </c>
    </row>
    <row r="1135">
      <c r="A1135" s="3" t="inlineStr">
        <is>
          <t>Uganda|Uganda Christian University</t>
        </is>
      </c>
      <c r="B1135" s="3" t="inlineStr">
        <is>
          <t>Uganda</t>
        </is>
      </c>
      <c r="C1135" s="3" t="inlineStr">
        <is>
          <t>Муконо</t>
        </is>
      </c>
      <c r="D1135" s="3" t="inlineStr">
        <is>
          <t>Uganda Christian University</t>
        </is>
      </c>
      <c r="E1135" s="3" t="inlineStr">
        <is>
          <t>Uganda Christian University</t>
        </is>
      </c>
      <c r="F1135" s="3" t="inlineStr">
        <is>
          <t>https://ucu.ac.ug</t>
        </is>
      </c>
      <c r="G1135" s="3" t="inlineStr"/>
      <c r="H1135" s="3" t="inlineStr"/>
      <c r="I1135" s="3" t="inlineStr"/>
      <c r="J1135" s="4" t="inlineStr">
        <is>
          <t>не в рейтинге</t>
        </is>
      </c>
      <c r="K1135" s="4" t="inlineStr">
        <is>
          <t>не в рейтинге</t>
        </is>
      </c>
      <c r="L1135" s="4" t="inlineStr">
        <is>
          <t>нет в опубл. списке (опубликован только топ-15 страны)</t>
        </is>
      </c>
      <c r="M1135" s="4" t="inlineStr">
        <is>
          <t>нет общенационального рейтинга</t>
        </is>
      </c>
      <c r="N1135" s="4" t="inlineStr">
        <is>
          <t>—</t>
        </is>
      </c>
      <c r="O1135" s="4" t="n"/>
      <c r="P1135" s="4" t="inlineStr">
        <is>
          <t>Национального рейтинга нет: NCHE (регулятор/аккредитация) рейтингов не публикует.</t>
        </is>
      </c>
    </row>
    <row r="1136">
      <c r="A1136" s="3" t="inlineStr">
        <is>
          <t>Uganda|Uganda Martyrs University</t>
        </is>
      </c>
      <c r="B1136" s="3" t="inlineStr">
        <is>
          <t>Uganda</t>
        </is>
      </c>
      <c r="C1136" s="3" t="inlineStr">
        <is>
          <t>Нкози</t>
        </is>
      </c>
      <c r="D1136" s="3" t="inlineStr">
        <is>
          <t>Uganda Martyrs University</t>
        </is>
      </c>
      <c r="E1136" s="3" t="inlineStr">
        <is>
          <t>Uganda Martyrs University</t>
        </is>
      </c>
      <c r="F1136" s="3" t="inlineStr">
        <is>
          <t>https://umu.ac.ug</t>
        </is>
      </c>
      <c r="G1136" s="3" t="inlineStr"/>
      <c r="H1136" s="3" t="inlineStr"/>
      <c r="I1136" s="3" t="inlineStr"/>
      <c r="J1136" s="4" t="inlineStr">
        <is>
          <t>не в рейтинге</t>
        </is>
      </c>
      <c r="K1136" s="4" t="inlineStr">
        <is>
          <t>не в рейтинге</t>
        </is>
      </c>
      <c r="L1136" s="4" t="inlineStr">
        <is>
          <t>6167</t>
        </is>
      </c>
      <c r="M1136" s="4" t="inlineStr">
        <is>
          <t>нет общенационального рейтинга</t>
        </is>
      </c>
      <c r="N1136" s="4" t="inlineStr">
        <is>
          <t>—</t>
        </is>
      </c>
      <c r="O1136" s="4" t="inlineStr">
        <is>
          <t>https://figshare.com/articles/preprint/Ranking_Web_of_Universities_webometrics_info_July_2026_edition/33062150</t>
        </is>
      </c>
      <c r="P1136" s="4" t="inlineStr">
        <is>
          <t>Национального рейтинга нет: NCHE (регулятор/аккредитация) рейтингов не публикует.</t>
        </is>
      </c>
    </row>
    <row r="1137">
      <c r="A1137" s="3" t="inlineStr">
        <is>
          <t>United Arab Emirates|Abu Dhabi University</t>
        </is>
      </c>
      <c r="B1137" s="3" t="inlineStr">
        <is>
          <t>United Arab Emirates</t>
        </is>
      </c>
      <c r="C1137" s="3" t="inlineStr">
        <is>
          <t>Абу-Даби</t>
        </is>
      </c>
      <c r="D1137" s="3" t="inlineStr">
        <is>
          <t>Abu Dhabi University</t>
        </is>
      </c>
      <c r="E1137" s="3" t="inlineStr">
        <is>
          <t>جامعة أبوظبي</t>
        </is>
      </c>
      <c r="F1137" s="3" t="inlineStr">
        <is>
          <t>https://www.adu.ac.ae</t>
        </is>
      </c>
      <c r="G1137" s="3" t="inlineStr">
        <is>
          <t>QS2027: 348</t>
        </is>
      </c>
      <c r="H1137" s="3" t="inlineStr">
        <is>
          <t>THE2027: 301–325</t>
        </is>
      </c>
      <c r="I1137" s="3" t="inlineStr"/>
      <c r="J1137" s="4" t="inlineStr">
        <is>
          <t>348</t>
        </is>
      </c>
      <c r="K1137" s="4" t="inlineStr">
        <is>
          <t>301–325</t>
        </is>
      </c>
      <c r="L1137" s="4" t="inlineStr">
        <is>
          <t>1747</t>
        </is>
      </c>
      <c r="M1137" s="4" t="inlineStr">
        <is>
          <t>нет общенационального рейтинга</t>
        </is>
      </c>
      <c r="N1137" s="4" t="inlineStr">
        <is>
          <t>—</t>
        </is>
      </c>
      <c r="O1137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37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38">
      <c r="A1138" s="3" t="inlineStr">
        <is>
          <t>United Arab Emirates|Ajman University</t>
        </is>
      </c>
      <c r="B1138" s="3" t="inlineStr">
        <is>
          <t>United Arab Emirates</t>
        </is>
      </c>
      <c r="C1138" s="3" t="inlineStr">
        <is>
          <t>Аджман</t>
        </is>
      </c>
      <c r="D1138" s="3" t="inlineStr">
        <is>
          <t>Ajman University</t>
        </is>
      </c>
      <c r="E1138" s="3" t="inlineStr">
        <is>
          <t>جامعة عجمان</t>
        </is>
      </c>
      <c r="F1138" s="3" t="inlineStr">
        <is>
          <t>https://www.ajman.ac.ae</t>
        </is>
      </c>
      <c r="G1138" s="3" t="inlineStr">
        <is>
          <t>QS2027: 397</t>
        </is>
      </c>
      <c r="H1138" s="3" t="inlineStr">
        <is>
          <t>THE2027: 376–400</t>
        </is>
      </c>
      <c r="I1138" s="3" t="inlineStr"/>
      <c r="J1138" s="4" t="inlineStr">
        <is>
          <t>397</t>
        </is>
      </c>
      <c r="K1138" s="4" t="inlineStr">
        <is>
          <t>376–400</t>
        </is>
      </c>
      <c r="L1138" s="4" t="inlineStr">
        <is>
          <t>1438</t>
        </is>
      </c>
      <c r="M1138" s="4" t="inlineStr">
        <is>
          <t>нет общенационального рейтинга</t>
        </is>
      </c>
      <c r="N1138" s="4" t="inlineStr">
        <is>
          <t>—</t>
        </is>
      </c>
      <c r="O113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38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39">
      <c r="A1139" s="3" t="inlineStr">
        <is>
          <t>United Arab Emirates|Al Ain University</t>
        </is>
      </c>
      <c r="B1139" s="3" t="inlineStr">
        <is>
          <t>United Arab Emirates</t>
        </is>
      </c>
      <c r="C1139" s="3" t="inlineStr">
        <is>
          <t>Эль-Айн</t>
        </is>
      </c>
      <c r="D1139" s="3" t="inlineStr">
        <is>
          <t>Al Ain University</t>
        </is>
      </c>
      <c r="E1139" s="3" t="inlineStr">
        <is>
          <t>جامعة العين</t>
        </is>
      </c>
      <c r="F1139" s="3" t="inlineStr">
        <is>
          <t>https://aau.ac.ae</t>
        </is>
      </c>
      <c r="G1139" s="3" t="inlineStr">
        <is>
          <t>QS2027: 559</t>
        </is>
      </c>
      <c r="H1139" s="3" t="inlineStr">
        <is>
          <t>THE2027: 401–450</t>
        </is>
      </c>
      <c r="I1139" s="3" t="inlineStr"/>
      <c r="J1139" s="4" t="inlineStr">
        <is>
          <t>559</t>
        </is>
      </c>
      <c r="K1139" s="4" t="inlineStr">
        <is>
          <t>401–450</t>
        </is>
      </c>
      <c r="L1139" s="4" t="inlineStr">
        <is>
          <t>2251</t>
        </is>
      </c>
      <c r="M1139" s="4" t="inlineStr">
        <is>
          <t>нет общенационального рейтинга</t>
        </is>
      </c>
      <c r="N1139" s="4" t="inlineStr">
        <is>
          <t>—</t>
        </is>
      </c>
      <c r="O113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39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0">
      <c r="A1140" s="3" t="inlineStr">
        <is>
          <t>United Arab Emirates|American University in Dubai</t>
        </is>
      </c>
      <c r="B1140" s="3" t="inlineStr">
        <is>
          <t>United Arab Emirates</t>
        </is>
      </c>
      <c r="C1140" s="3" t="inlineStr">
        <is>
          <t>Дубай</t>
        </is>
      </c>
      <c r="D1140" s="3" t="inlineStr">
        <is>
          <t>American University in Dubai</t>
        </is>
      </c>
      <c r="E1140" s="3" t="inlineStr">
        <is>
          <t>الجامعة الأمريكية في دبي</t>
        </is>
      </c>
      <c r="F1140" s="3" t="inlineStr">
        <is>
          <t>https://www.aud.edu</t>
        </is>
      </c>
      <c r="G1140" s="3" t="inlineStr"/>
      <c r="H1140" s="3" t="inlineStr"/>
      <c r="I1140" s="3" t="inlineStr"/>
      <c r="J1140" s="4">
        <f>620</f>
        <v/>
      </c>
      <c r="K1140" s="4" t="inlineStr">
        <is>
          <t>Reporter</t>
        </is>
      </c>
      <c r="L1140" s="4" t="inlineStr">
        <is>
          <t>нет в опубл. списке (опубликован только топ-15 страны)</t>
        </is>
      </c>
      <c r="M1140" s="4" t="inlineStr">
        <is>
          <t>нет общенационального рейтинга</t>
        </is>
      </c>
      <c r="N1140" s="4" t="inlineStr">
        <is>
          <t>—</t>
        </is>
      </c>
      <c r="O1140" s="4" t="inlineStr">
        <is>
          <t>https://www.topuniversities.com/world-university-rankings (QS WUR 2027)
https://www.timeshighereducation.com/world-university-rankings/2027/world-ranking
https://www.moe.gov.ae/En/MediaCenter/News/pages/heis-classification.aspx</t>
        </is>
      </c>
      <c r="P1140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1">
      <c r="A1141" s="3" t="inlineStr">
        <is>
          <t>United Arab Emirates|American University of Ras Al Khaimah</t>
        </is>
      </c>
      <c r="B1141" s="3" t="inlineStr">
        <is>
          <t>United Arab Emirates</t>
        </is>
      </c>
      <c r="C1141" s="3" t="inlineStr">
        <is>
          <t>Рас-эль-Хайма</t>
        </is>
      </c>
      <c r="D1141" s="3" t="inlineStr">
        <is>
          <t>American University of Ras Al Khaimah</t>
        </is>
      </c>
      <c r="E1141" s="3" t="inlineStr">
        <is>
          <t>الجامعة الأمريكية في رأس الخيمة</t>
        </is>
      </c>
      <c r="F1141" s="3" t="inlineStr">
        <is>
          <t>https://aurak.ac.ae</t>
        </is>
      </c>
      <c r="G1141" s="3" t="inlineStr"/>
      <c r="H1141" s="3" t="inlineStr"/>
      <c r="I1141" s="3" t="inlineStr"/>
      <c r="J1141" s="4">
        <f>608</f>
        <v/>
      </c>
      <c r="K1141" s="4" t="inlineStr">
        <is>
          <t>Reporter</t>
        </is>
      </c>
      <c r="L1141" s="4" t="inlineStr">
        <is>
          <t>нет в опубл. списке (опубликован только топ-15 страны)</t>
        </is>
      </c>
      <c r="M1141" s="4" t="inlineStr">
        <is>
          <t>нет общенационального рейтинга</t>
        </is>
      </c>
      <c r="N1141" s="4" t="inlineStr">
        <is>
          <t>—</t>
        </is>
      </c>
      <c r="O1141" s="4" t="inlineStr">
        <is>
          <t>https://www.topuniversities.com/world-university-rankings (QS WUR 2027)
https://www.timeshighereducation.com/world-university-rankings/2027/world-ranking
https://www.moe.gov.ae/En/MediaCenter/News/pages/heis-classification.aspx</t>
        </is>
      </c>
      <c r="P1141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2">
      <c r="A1142" s="3" t="inlineStr">
        <is>
          <t>United Arab Emirates|American University of Sharjah</t>
        </is>
      </c>
      <c r="B1142" s="3" t="inlineStr">
        <is>
          <t>United Arab Emirates</t>
        </is>
      </c>
      <c r="C1142" s="3" t="inlineStr">
        <is>
          <t>Шарджа</t>
        </is>
      </c>
      <c r="D1142" s="3" t="inlineStr">
        <is>
          <t>American University of Sharjah</t>
        </is>
      </c>
      <c r="E1142" s="3" t="inlineStr">
        <is>
          <t>الجامعة الأمريكية في الشارقة</t>
        </is>
      </c>
      <c r="F1142" s="3" t="inlineStr">
        <is>
          <t>https://www.aus.edu</t>
        </is>
      </c>
      <c r="G1142" s="3" t="inlineStr">
        <is>
          <t>QS2027: 258</t>
        </is>
      </c>
      <c r="H1142" s="3" t="inlineStr">
        <is>
          <t>THE2027: 501–550</t>
        </is>
      </c>
      <c r="I1142" s="3" t="inlineStr"/>
      <c r="J1142" s="4">
        <f>258</f>
        <v/>
      </c>
      <c r="K1142" s="4" t="inlineStr">
        <is>
          <t>501–550</t>
        </is>
      </c>
      <c r="L1142" s="4" t="inlineStr">
        <is>
          <t>1535</t>
        </is>
      </c>
      <c r="M1142" s="4" t="inlineStr">
        <is>
          <t>нет общенационального рейтинга</t>
        </is>
      </c>
      <c r="N1142" s="4" t="inlineStr">
        <is>
          <t>—</t>
        </is>
      </c>
      <c r="O114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42" s="4" t="inlineStr">
        <is>
          <t>Есть только National HEI Classification Framework (МинОбр ОАЭ, 06.2024): 4 группы без мест; публично названы лишь вузы Group 1. Этот вуз — в Group 1 (Outstanding), места внутри групп нет.</t>
        </is>
      </c>
    </row>
    <row r="1143">
      <c r="A1143" s="3" t="inlineStr">
        <is>
          <t>United Arab Emirates|Amity University Dubai</t>
        </is>
      </c>
      <c r="B1143" s="3" t="inlineStr">
        <is>
          <t>United Arab Emirates</t>
        </is>
      </c>
      <c r="C1143" s="3" t="inlineStr">
        <is>
          <t>Дубай</t>
        </is>
      </c>
      <c r="D1143" s="3" t="inlineStr">
        <is>
          <t>Amity University Dubai</t>
        </is>
      </c>
      <c r="E1143" s="3" t="inlineStr">
        <is>
          <t>جامعة أميتي دبي</t>
        </is>
      </c>
      <c r="F1143" s="3" t="inlineStr">
        <is>
          <t>https://amityuniversity.ae</t>
        </is>
      </c>
      <c r="G1143" s="3" t="inlineStr"/>
      <c r="H1143" s="3" t="inlineStr"/>
      <c r="I1143" s="3" t="inlineStr"/>
      <c r="J1143" s="4" t="inlineStr">
        <is>
          <t>не в рейтинге</t>
        </is>
      </c>
      <c r="K1143" s="4" t="inlineStr">
        <is>
          <t>не в рейтинге</t>
        </is>
      </c>
      <c r="L1143" s="4" t="inlineStr">
        <is>
          <t>нет в опубл. списке (опубликован только топ-15 страны)</t>
        </is>
      </c>
      <c r="M1143" s="4" t="inlineStr">
        <is>
          <t>нет общенационального рейтинга</t>
        </is>
      </c>
      <c r="N1143" s="4" t="inlineStr">
        <is>
          <t>—</t>
        </is>
      </c>
      <c r="O1143" s="4" t="inlineStr">
        <is>
          <t>https://www.moe.gov.ae/En/MediaCenter/News/pages/heis-classification.aspx</t>
        </is>
      </c>
      <c r="P1143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4">
      <c r="A1144" s="3" t="inlineStr">
        <is>
          <t>United Arab Emirates|Birla Institute of Technology and Science, Pilani – Dubai Campus</t>
        </is>
      </c>
      <c r="B1144" s="3" t="inlineStr">
        <is>
          <t>United Arab Emirates</t>
        </is>
      </c>
      <c r="C1144" s="3" t="inlineStr">
        <is>
          <t>Дубай</t>
        </is>
      </c>
      <c r="D1144" s="3" t="inlineStr">
        <is>
          <t>Birla Institute of Technology and Science, Pilani – Dubai Campus</t>
        </is>
      </c>
      <c r="E1144" s="3" t="inlineStr">
        <is>
          <t>Birla Institute of Technology and Science, Pilani – Dubai Campus</t>
        </is>
      </c>
      <c r="F1144" s="3" t="inlineStr">
        <is>
          <t>https://www.bits-pilani.ac.in/dubai</t>
        </is>
      </c>
      <c r="G1144" s="3" t="inlineStr"/>
      <c r="H1144" s="3" t="inlineStr"/>
      <c r="I1144" s="3" t="inlineStr"/>
      <c r="J1144" s="4" t="inlineStr">
        <is>
          <t>не в рейтинге</t>
        </is>
      </c>
      <c r="K1144" s="4" t="inlineStr">
        <is>
          <t>не в рейтинге</t>
        </is>
      </c>
      <c r="L1144" s="4" t="inlineStr">
        <is>
          <t>нет в опубл. списке (опубликован только топ-15 страны)</t>
        </is>
      </c>
      <c r="M1144" s="4" t="inlineStr">
        <is>
          <t>нет общенационального рейтинга</t>
        </is>
      </c>
      <c r="N1144" s="4" t="inlineStr">
        <is>
          <t>—</t>
        </is>
      </c>
      <c r="O1144" s="4" t="inlineStr">
        <is>
          <t>https://www.moe.gov.ae/En/MediaCenter/News/pages/heis-classification.aspx</t>
        </is>
      </c>
      <c r="P1144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5">
      <c r="A1145" s="3" t="inlineStr">
        <is>
          <t>United Arab Emirates|Canadian University Dubai</t>
        </is>
      </c>
      <c r="B1145" s="3" t="inlineStr">
        <is>
          <t>United Arab Emirates</t>
        </is>
      </c>
      <c r="C1145" s="3" t="inlineStr">
        <is>
          <t>Дубай</t>
        </is>
      </c>
      <c r="D1145" s="3" t="inlineStr">
        <is>
          <t>Canadian University Dubai</t>
        </is>
      </c>
      <c r="E1145" s="3" t="inlineStr">
        <is>
          <t>الجامعة الكندية دبي</t>
        </is>
      </c>
      <c r="F1145" s="3" t="inlineStr">
        <is>
          <t>https://www.cud.ac.ae</t>
        </is>
      </c>
      <c r="G1145" s="3" t="inlineStr">
        <is>
          <t>QS2027: 616</t>
        </is>
      </c>
      <c r="H1145" s="3" t="inlineStr"/>
      <c r="I1145" s="3" t="inlineStr"/>
      <c r="J1145" s="4">
        <f>616</f>
        <v/>
      </c>
      <c r="K1145" s="4" t="inlineStr">
        <is>
          <t>не в рейтинге</t>
        </is>
      </c>
      <c r="L1145" s="4" t="inlineStr">
        <is>
          <t>нет в опубл. списке (опубликован только топ-15 страны)</t>
        </is>
      </c>
      <c r="M1145" s="4" t="inlineStr">
        <is>
          <t>нет общенационального рейтинга</t>
        </is>
      </c>
      <c r="N1145" s="4" t="inlineStr">
        <is>
          <t>—</t>
        </is>
      </c>
      <c r="O1145" s="4" t="inlineStr">
        <is>
          <t>https://www.topuniversities.com/world-university-rankings (QS WUR 2027)
https://www.moe.gov.ae/En/MediaCenter/News/pages/heis-classification.aspx</t>
        </is>
      </c>
      <c r="P1145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6">
      <c r="A1146" s="3" t="inlineStr">
        <is>
          <t>United Arab Emirates|City University Ajman</t>
        </is>
      </c>
      <c r="B1146" s="3" t="inlineStr">
        <is>
          <t>United Arab Emirates</t>
        </is>
      </c>
      <c r="C1146" s="3" t="inlineStr">
        <is>
          <t>Аджман</t>
        </is>
      </c>
      <c r="D1146" s="3" t="inlineStr">
        <is>
          <t>City University Ajman</t>
        </is>
      </c>
      <c r="E1146" s="3" t="inlineStr"/>
      <c r="F1146" s="3" t="inlineStr">
        <is>
          <t>https://cu.ac.ae</t>
        </is>
      </c>
      <c r="G1146" s="3" t="inlineStr"/>
      <c r="H1146" s="3" t="inlineStr"/>
      <c r="I1146" s="3" t="inlineStr"/>
      <c r="J1146" s="4" t="inlineStr">
        <is>
          <t>не в рейтинге</t>
        </is>
      </c>
      <c r="K1146" s="4" t="inlineStr">
        <is>
          <t>Reporter</t>
        </is>
      </c>
      <c r="L1146" s="4" t="inlineStr">
        <is>
          <t>нет в опубл. списке (опубликован только топ-15 страны)</t>
        </is>
      </c>
      <c r="M1146" s="4" t="inlineStr">
        <is>
          <t>нет общенационального рейтинга</t>
        </is>
      </c>
      <c r="N1146" s="4" t="inlineStr">
        <is>
          <t>—</t>
        </is>
      </c>
      <c r="O1146" s="4" t="inlineStr">
        <is>
          <t>https://www.timeshighereducation.com/world-university-rankings/2027/world-ranking
https://www.moe.gov.ae/En/MediaCenter/News/pages/heis-classification.aspx</t>
        </is>
      </c>
      <c r="P1146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7">
      <c r="A1147" s="3" t="inlineStr">
        <is>
          <t>United Arab Emirates|Dubai Medical University</t>
        </is>
      </c>
      <c r="B1147" s="3" t="inlineStr">
        <is>
          <t>United Arab Emirates</t>
        </is>
      </c>
      <c r="C1147" s="3" t="inlineStr">
        <is>
          <t>Дубай</t>
        </is>
      </c>
      <c r="D1147" s="3" t="inlineStr">
        <is>
          <t>Dubai Medical University</t>
        </is>
      </c>
      <c r="E1147" s="3" t="inlineStr">
        <is>
          <t>جامعة دبي الطبية</t>
        </is>
      </c>
      <c r="F1147" s="3" t="inlineStr">
        <is>
          <t>https://dmu.ae</t>
        </is>
      </c>
      <c r="G1147" s="3" t="inlineStr"/>
      <c r="H1147" s="3" t="inlineStr">
        <is>
          <t>THE2027: Reporter (unranked)</t>
        </is>
      </c>
      <c r="I1147" s="3" t="inlineStr"/>
      <c r="J1147" s="4" t="inlineStr">
        <is>
          <t>не в рейтинге</t>
        </is>
      </c>
      <c r="K1147" s="4" t="inlineStr">
        <is>
          <t>Reporter</t>
        </is>
      </c>
      <c r="L1147" s="4" t="inlineStr">
        <is>
          <t>нет в опубл. списке (опубликован только топ-15 страны)</t>
        </is>
      </c>
      <c r="M1147" s="4" t="inlineStr">
        <is>
          <t>нет общенационального рейтинга</t>
        </is>
      </c>
      <c r="N1147" s="4" t="inlineStr">
        <is>
          <t>—</t>
        </is>
      </c>
      <c r="O1147" s="4" t="inlineStr">
        <is>
          <t>https://www.timeshighereducation.com/world-university-rankings/2027/world-ranking
https://www.moe.gov.ae/En/MediaCenter/News/pages/heis-classification.aspx</t>
        </is>
      </c>
      <c r="P1147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8">
      <c r="A1148" s="3" t="inlineStr">
        <is>
          <t>United Arab Emirates|Emirates Aviation University</t>
        </is>
      </c>
      <c r="B1148" s="3" t="inlineStr">
        <is>
          <t>United Arab Emirates</t>
        </is>
      </c>
      <c r="C1148" s="3" t="inlineStr">
        <is>
          <t>Дубай</t>
        </is>
      </c>
      <c r="D1148" s="3" t="inlineStr">
        <is>
          <t>Emirates Aviation University</t>
        </is>
      </c>
      <c r="E1148" s="3" t="inlineStr">
        <is>
          <t>جامعة الإمارات للطيران</t>
        </is>
      </c>
      <c r="F1148" s="3" t="inlineStr">
        <is>
          <t>https://www.eau.ac.ae</t>
        </is>
      </c>
      <c r="G1148" s="3" t="inlineStr"/>
      <c r="H1148" s="3" t="inlineStr"/>
      <c r="I1148" s="3" t="inlineStr"/>
      <c r="J1148" s="4" t="inlineStr">
        <is>
          <t>не в рейтинге</t>
        </is>
      </c>
      <c r="K1148" s="4" t="inlineStr">
        <is>
          <t>не в рейтинге</t>
        </is>
      </c>
      <c r="L1148" s="4" t="inlineStr">
        <is>
          <t>нет в опубл. списке (опубликован только топ-15 страны)</t>
        </is>
      </c>
      <c r="M1148" s="4" t="inlineStr">
        <is>
          <t>нет общенационального рейтинга</t>
        </is>
      </c>
      <c r="N1148" s="4" t="inlineStr">
        <is>
          <t>—</t>
        </is>
      </c>
      <c r="O1148" s="4" t="inlineStr">
        <is>
          <t>https://www.moe.gov.ae/En/MediaCenter/News/pages/heis-classification.aspx</t>
        </is>
      </c>
      <c r="P1148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49">
      <c r="A1149" s="3" t="inlineStr">
        <is>
          <t>United Arab Emirates|Emirates College for Advanced Education</t>
        </is>
      </c>
      <c r="B1149" s="3" t="inlineStr">
        <is>
          <t>United Arab Emirates</t>
        </is>
      </c>
      <c r="C1149" s="3" t="inlineStr">
        <is>
          <t>Абу-Даби</t>
        </is>
      </c>
      <c r="D1149" s="3" t="inlineStr">
        <is>
          <t>Emirates College for Advanced Education</t>
        </is>
      </c>
      <c r="E1149" s="3" t="inlineStr">
        <is>
          <t>كلية الإمارات للتطوير التربوي</t>
        </is>
      </c>
      <c r="F1149" s="3" t="inlineStr">
        <is>
          <t>https://www.ecae.ac.ae</t>
        </is>
      </c>
      <c r="G1149" s="3" t="inlineStr"/>
      <c r="H1149" s="3" t="inlineStr"/>
      <c r="I1149" s="3" t="inlineStr"/>
      <c r="J1149" s="4" t="inlineStr">
        <is>
          <t>не в рейтинге</t>
        </is>
      </c>
      <c r="K1149" s="4" t="inlineStr">
        <is>
          <t>не в рейтинге</t>
        </is>
      </c>
      <c r="L1149" s="4" t="inlineStr">
        <is>
          <t>нет в опубл. списке (опубликован только топ-15 страны)</t>
        </is>
      </c>
      <c r="M1149" s="4" t="inlineStr">
        <is>
          <t>нет общенационального рейтинга</t>
        </is>
      </c>
      <c r="N1149" s="4" t="inlineStr">
        <is>
          <t>—</t>
        </is>
      </c>
      <c r="O1149" s="4" t="inlineStr">
        <is>
          <t>https://www.moe.gov.ae/En/MediaCenter/News/pages/heis-classification.aspx</t>
        </is>
      </c>
      <c r="P1149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50">
      <c r="A1150" s="3" t="inlineStr">
        <is>
          <t>United Arab Emirates|Fatima College of Health Sciences</t>
        </is>
      </c>
      <c r="B1150" s="3" t="inlineStr">
        <is>
          <t>United Arab Emirates</t>
        </is>
      </c>
      <c r="C1150" s="3" t="inlineStr">
        <is>
          <t>Абу-Даби</t>
        </is>
      </c>
      <c r="D1150" s="3" t="inlineStr">
        <is>
          <t>Fatima College of Health Sciences</t>
        </is>
      </c>
      <c r="E1150" s="3" t="inlineStr">
        <is>
          <t>كلية فاطمة للعلوم الصحية</t>
        </is>
      </c>
      <c r="F1150" s="3" t="inlineStr">
        <is>
          <t>https://www.fchs.ac.ae</t>
        </is>
      </c>
      <c r="G1150" s="3" t="inlineStr"/>
      <c r="H1150" s="3" t="inlineStr"/>
      <c r="I1150" s="3" t="inlineStr"/>
      <c r="J1150" s="4" t="inlineStr">
        <is>
          <t>не в рейтинге</t>
        </is>
      </c>
      <c r="K1150" s="4" t="inlineStr">
        <is>
          <t>не в рейтинге</t>
        </is>
      </c>
      <c r="L1150" s="4" t="inlineStr">
        <is>
          <t>нет в опубл. списке (опубликован только топ-15 страны)</t>
        </is>
      </c>
      <c r="M1150" s="4" t="inlineStr">
        <is>
          <t>нет общенационального рейтинга</t>
        </is>
      </c>
      <c r="N1150" s="4" t="inlineStr">
        <is>
          <t>—</t>
        </is>
      </c>
      <c r="O1150" s="4" t="inlineStr">
        <is>
          <t>https://www.moe.gov.ae/En/MediaCenter/News/pages/heis-classification.aspx</t>
        </is>
      </c>
      <c r="P1150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51">
      <c r="A1151" s="3" t="inlineStr">
        <is>
          <t>United Arab Emirates|Gulf Medical University</t>
        </is>
      </c>
      <c r="B1151" s="3" t="inlineStr">
        <is>
          <t>United Arab Emirates</t>
        </is>
      </c>
      <c r="C1151" s="3" t="inlineStr">
        <is>
          <t>Аджман</t>
        </is>
      </c>
      <c r="D1151" s="3" t="inlineStr">
        <is>
          <t>Gulf Medical University</t>
        </is>
      </c>
      <c r="E1151" s="3" t="inlineStr">
        <is>
          <t>جامعة الخليج الطبية</t>
        </is>
      </c>
      <c r="F1151" s="3" t="inlineStr">
        <is>
          <t>https://gmu.ac.ae</t>
        </is>
      </c>
      <c r="G1151" s="3" t="inlineStr"/>
      <c r="H1151" s="3" t="inlineStr">
        <is>
          <t>THE2027: 1001–1200</t>
        </is>
      </c>
      <c r="I1151" s="3" t="inlineStr"/>
      <c r="J1151" s="4" t="inlineStr">
        <is>
          <t>не в рейтинге</t>
        </is>
      </c>
      <c r="K1151" s="4" t="inlineStr">
        <is>
          <t>1001–1200</t>
        </is>
      </c>
      <c r="L1151" s="4" t="inlineStr">
        <is>
          <t>3309</t>
        </is>
      </c>
      <c r="M1151" s="4" t="inlineStr">
        <is>
          <t>нет общенационального рейтинга</t>
        </is>
      </c>
      <c r="N1151" s="4" t="inlineStr">
        <is>
          <t>—</t>
        </is>
      </c>
      <c r="O1151" s="4" t="inlineStr">
        <is>
          <t>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51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52">
      <c r="A1152" s="3" t="inlineStr">
        <is>
          <t>United Arab Emirates|Heriot-Watt University Dubai</t>
        </is>
      </c>
      <c r="B1152" s="3" t="inlineStr">
        <is>
          <t>United Arab Emirates</t>
        </is>
      </c>
      <c r="C1152" s="3" t="inlineStr">
        <is>
          <t>Дубай</t>
        </is>
      </c>
      <c r="D1152" s="3" t="inlineStr">
        <is>
          <t>Heriot-Watt University Dubai</t>
        </is>
      </c>
      <c r="E1152" s="3" t="inlineStr">
        <is>
          <t>جامعة هيريوت وات دبي</t>
        </is>
      </c>
      <c r="F1152" s="3" t="inlineStr">
        <is>
          <t>https://www.hw.ac.uk/dubai</t>
        </is>
      </c>
      <c r="G1152" s="3" t="inlineStr"/>
      <c r="H1152" s="3" t="inlineStr"/>
      <c r="I1152" s="3" t="inlineStr"/>
      <c r="J1152" s="4" t="inlineStr">
        <is>
          <t>не в рейтинге</t>
        </is>
      </c>
      <c r="K1152" s="4" t="inlineStr">
        <is>
          <t>не в рейтинге</t>
        </is>
      </c>
      <c r="L1152" s="4" t="inlineStr">
        <is>
          <t>нет в опубл. списке (опубликован только топ-15 страны)</t>
        </is>
      </c>
      <c r="M1152" s="4" t="inlineStr">
        <is>
          <t>нет общенационального рейтинга</t>
        </is>
      </c>
      <c r="N1152" s="4" t="inlineStr">
        <is>
          <t>—</t>
        </is>
      </c>
      <c r="O1152" s="4" t="inlineStr">
        <is>
          <t>https://www.moe.gov.ae/En/MediaCenter/News/pages/heis-classification.aspx</t>
        </is>
      </c>
      <c r="P1152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53">
      <c r="A1153" s="3" t="inlineStr">
        <is>
          <t>United Arab Emirates|Higher Colleges of Technology</t>
        </is>
      </c>
      <c r="B1153" s="3" t="inlineStr">
        <is>
          <t>United Arab Emirates</t>
        </is>
      </c>
      <c r="C1153" s="3" t="inlineStr">
        <is>
          <t>Абу-Даби</t>
        </is>
      </c>
      <c r="D1153" s="3" t="inlineStr">
        <is>
          <t>Higher Colleges of Technology</t>
        </is>
      </c>
      <c r="E1153" s="3" t="inlineStr">
        <is>
          <t>كليات التقنية العليا</t>
        </is>
      </c>
      <c r="F1153" s="3" t="inlineStr">
        <is>
          <t>https://hct.ac.ae</t>
        </is>
      </c>
      <c r="G1153" s="3" t="inlineStr"/>
      <c r="H1153" s="3" t="inlineStr"/>
      <c r="I1153" s="3" t="inlineStr"/>
      <c r="J1153" s="4" t="inlineStr">
        <is>
          <t>не в рейтинге</t>
        </is>
      </c>
      <c r="K1153" s="4" t="inlineStr">
        <is>
          <t>не в рейтинге</t>
        </is>
      </c>
      <c r="L1153" s="4" t="inlineStr">
        <is>
          <t>2441</t>
        </is>
      </c>
      <c r="M1153" s="4" t="inlineStr">
        <is>
          <t>нет общенационального рейтинга</t>
        </is>
      </c>
      <c r="N1153" s="4" t="inlineStr">
        <is>
          <t>—</t>
        </is>
      </c>
      <c r="O1153" s="4" t="inlineStr">
        <is>
          <t>https://figshare.com/articles/preprint/Ranking_Web_of_Universities_webometrics_info_July_2026_edition/33062150
https://www.moe.gov.ae/En/MediaCenter/News/pages/heis-classification.aspx</t>
        </is>
      </c>
      <c r="P1153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54">
      <c r="A1154" s="3" t="inlineStr">
        <is>
          <t>United Arab Emirates|Khalifa University of Science and Technology</t>
        </is>
      </c>
      <c r="B1154" s="3" t="inlineStr">
        <is>
          <t>United Arab Emirates</t>
        </is>
      </c>
      <c r="C1154" s="3" t="inlineStr">
        <is>
          <t>Абу-Даби</t>
        </is>
      </c>
      <c r="D1154" s="3" t="inlineStr">
        <is>
          <t>Khalifa University of Science and Technology</t>
        </is>
      </c>
      <c r="E1154" s="3" t="inlineStr">
        <is>
          <t>جامعة خليفة للعلوم والتكنولوجيا</t>
        </is>
      </c>
      <c r="F1154" s="3" t="inlineStr">
        <is>
          <t>https://www.ku.ac.ae</t>
        </is>
      </c>
      <c r="G1154" s="3" t="inlineStr">
        <is>
          <t>QS2027: 147</t>
        </is>
      </c>
      <c r="H1154" s="3" t="inlineStr">
        <is>
          <t>THE2027: =235</t>
        </is>
      </c>
      <c r="I1154" s="3" t="inlineStr"/>
      <c r="J1154" s="4" t="inlineStr">
        <is>
          <t>147</t>
        </is>
      </c>
      <c r="K1154" s="4">
        <f>235</f>
        <v/>
      </c>
      <c r="L1154" s="4" t="inlineStr">
        <is>
          <t>751</t>
        </is>
      </c>
      <c r="M1154" s="4" t="inlineStr">
        <is>
          <t>нет общенационального рейтинга</t>
        </is>
      </c>
      <c r="N1154" s="4" t="inlineStr">
        <is>
          <t>—</t>
        </is>
      </c>
      <c r="O1154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54" s="4" t="inlineStr">
        <is>
          <t>QS: в таблице как «Khalifa University»; THE: в таблице как «Khalifa University»; Есть только National HEI Classification Framework (МинОбр ОАЭ, 06.2024): 4 группы без мест; публично названы лишь вузы Group 1. Этот вуз — в Group 1 (Outstanding), места внутри групп нет.</t>
        </is>
      </c>
    </row>
    <row r="1155">
      <c r="A1155" s="3" t="inlineStr">
        <is>
          <t>United Arab Emirates|Manipal Academy of Higher Education, Dubai Campus</t>
        </is>
      </c>
      <c r="B1155" s="3" t="inlineStr">
        <is>
          <t>United Arab Emirates</t>
        </is>
      </c>
      <c r="C1155" s="3" t="inlineStr">
        <is>
          <t>Дубай</t>
        </is>
      </c>
      <c r="D1155" s="3" t="inlineStr">
        <is>
          <t>Manipal Academy of Higher Education, Dubai Campus</t>
        </is>
      </c>
      <c r="E1155" s="3" t="inlineStr">
        <is>
          <t>Manipal Academy of Higher Education, Dubai Campus</t>
        </is>
      </c>
      <c r="F1155" s="3" t="inlineStr">
        <is>
          <t>https://www.manipaldubai.com</t>
        </is>
      </c>
      <c r="G1155" s="3" t="inlineStr"/>
      <c r="H1155" s="3" t="inlineStr"/>
      <c r="I1155" s="3" t="inlineStr"/>
      <c r="J1155" s="4" t="inlineStr">
        <is>
          <t>не в рейтинге</t>
        </is>
      </c>
      <c r="K1155" s="4" t="inlineStr">
        <is>
          <t>не в рейтинге</t>
        </is>
      </c>
      <c r="L1155" s="4" t="inlineStr">
        <is>
          <t>нет в опубл. списке (опубликован только топ-15 страны)</t>
        </is>
      </c>
      <c r="M1155" s="4" t="inlineStr">
        <is>
          <t>нет общенационального рейтинга</t>
        </is>
      </c>
      <c r="N1155" s="4" t="inlineStr">
        <is>
          <t>—</t>
        </is>
      </c>
      <c r="O1155" s="4" t="inlineStr">
        <is>
          <t>https://www.moe.gov.ae/En/MediaCenter/News/pages/heis-classification.aspx</t>
        </is>
      </c>
      <c r="P1155" s="4" t="inlineStr">
        <is>
          <t>Есть только National HEI Classification Framework (МинОбр ОАЭ, 06.2024): 4 группы без мест; публично названы лишь вузы Group 1.; Кампус MAHE в Дубае; глобальные рейтинги ранжируют MAHE (Индия) целиком</t>
        </is>
      </c>
    </row>
    <row r="1156">
      <c r="A1156" s="3" t="inlineStr">
        <is>
          <t>United Arab Emirates|Middlesex University Dubai</t>
        </is>
      </c>
      <c r="B1156" s="3" t="inlineStr">
        <is>
          <t>United Arab Emirates</t>
        </is>
      </c>
      <c r="C1156" s="3" t="inlineStr">
        <is>
          <t>Дубай</t>
        </is>
      </c>
      <c r="D1156" s="3" t="inlineStr">
        <is>
          <t>Middlesex University Dubai</t>
        </is>
      </c>
      <c r="E1156" s="3" t="inlineStr">
        <is>
          <t>جامعة ميدلسكس دبي</t>
        </is>
      </c>
      <c r="F1156" s="3" t="inlineStr">
        <is>
          <t>https://www.mdx.ac.ae</t>
        </is>
      </c>
      <c r="G1156" s="3" t="inlineStr"/>
      <c r="H1156" s="3" t="inlineStr"/>
      <c r="I1156" s="3" t="inlineStr"/>
      <c r="J1156" s="4" t="inlineStr">
        <is>
          <t>не в рейтинге</t>
        </is>
      </c>
      <c r="K1156" s="4" t="inlineStr">
        <is>
          <t>не в рейтинге</t>
        </is>
      </c>
      <c r="L1156" s="4" t="inlineStr">
        <is>
          <t>нет в опубл. списке (опубликован только топ-15 страны)</t>
        </is>
      </c>
      <c r="M1156" s="4" t="inlineStr">
        <is>
          <t>нет общенационального рейтинга</t>
        </is>
      </c>
      <c r="N1156" s="4" t="inlineStr">
        <is>
          <t>—</t>
        </is>
      </c>
      <c r="O1156" s="4" t="inlineStr">
        <is>
          <t>https://www.moe.gov.ae/En/MediaCenter/News/pages/heis-classification.aspx</t>
        </is>
      </c>
      <c r="P1156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57">
      <c r="A1157" s="3" t="inlineStr">
        <is>
          <t>United Arab Emirates|Mohammed Bin Rashid Space Centre (MBRSC)</t>
        </is>
      </c>
      <c r="B1157" s="3" t="inlineStr">
        <is>
          <t>United Arab Emirates</t>
        </is>
      </c>
      <c r="C1157" s="3" t="inlineStr">
        <is>
          <t>Дубай</t>
        </is>
      </c>
      <c r="D1157" s="3" t="inlineStr">
        <is>
          <t>Mohammed Bin Rashid Space Centre (MBRSC)</t>
        </is>
      </c>
      <c r="E1157" s="3" t="inlineStr">
        <is>
          <t>مركز محمد بن راشد للفضاء</t>
        </is>
      </c>
      <c r="F1157" s="3" t="inlineStr">
        <is>
          <t>https://www.mbrsc.ae</t>
        </is>
      </c>
      <c r="G1157" s="3" t="inlineStr"/>
      <c r="H1157" s="3" t="inlineStr"/>
      <c r="I1157" s="3" t="inlineStr"/>
      <c r="J1157" s="4" t="inlineStr">
        <is>
          <t>не в рейтинге</t>
        </is>
      </c>
      <c r="K1157" s="4" t="inlineStr">
        <is>
          <t>не в рейтинге</t>
        </is>
      </c>
      <c r="L1157" s="4" t="inlineStr">
        <is>
          <t>нет в опубл. списке (опубликован только топ-15 страны)</t>
        </is>
      </c>
      <c r="M1157" s="4" t="inlineStr">
        <is>
          <t>нет общенационального рейтинга</t>
        </is>
      </c>
      <c r="N1157" s="4" t="inlineStr">
        <is>
          <t>—</t>
        </is>
      </c>
      <c r="O1157" s="4" t="inlineStr">
        <is>
          <t>https://www.moe.gov.ae/En/MediaCenter/News/pages/heis-classification.aspx</t>
        </is>
      </c>
      <c r="P1157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58">
      <c r="A1158" s="3" t="inlineStr">
        <is>
          <t>United Arab Emirates|Mohammed Bin Rashid University of Medicine and Health Sciences</t>
        </is>
      </c>
      <c r="B1158" s="3" t="inlineStr">
        <is>
          <t>United Arab Emirates</t>
        </is>
      </c>
      <c r="C1158" s="3" t="inlineStr">
        <is>
          <t>Дубай</t>
        </is>
      </c>
      <c r="D1158" s="3" t="inlineStr">
        <is>
          <t>Mohammed Bin Rashid University of Medicine and Health Sciences</t>
        </is>
      </c>
      <c r="E1158" s="3" t="inlineStr">
        <is>
          <t>جامعة محمد بن راشد للطب والعلوم الصحية</t>
        </is>
      </c>
      <c r="F1158" s="3" t="inlineStr">
        <is>
          <t>https://www.mbru.ac.ae</t>
        </is>
      </c>
      <c r="G1158" s="3" t="inlineStr"/>
      <c r="H1158" s="3" t="inlineStr"/>
      <c r="I1158" s="3" t="inlineStr"/>
      <c r="J1158" s="4" t="inlineStr">
        <is>
          <t>не в рейтинге</t>
        </is>
      </c>
      <c r="K1158" s="4" t="inlineStr">
        <is>
          <t>не в рейтинге</t>
        </is>
      </c>
      <c r="L1158" s="4" t="inlineStr">
        <is>
          <t>нет в опубл. списке (опубликован только топ-15 страны)</t>
        </is>
      </c>
      <c r="M1158" s="4" t="inlineStr">
        <is>
          <t>нет общенационального рейтинга</t>
        </is>
      </c>
      <c r="N1158" s="4" t="inlineStr">
        <is>
          <t>—</t>
        </is>
      </c>
      <c r="O1158" s="4" t="inlineStr">
        <is>
          <t>https://www.moe.gov.ae/En/MediaCenter/News/pages/heis-classification.aspx</t>
        </is>
      </c>
      <c r="P1158" s="4" t="inlineStr">
        <is>
          <t>Есть только National HEI Classification Framework (МинОбр ОАЭ, 06.2024): 4 группы без мест; публично названы лишь вузы Group 1. Этот вуз — в Group 1 (Outstanding), места внутри групп нет.</t>
        </is>
      </c>
    </row>
    <row r="1159">
      <c r="A1159" s="3" t="inlineStr">
        <is>
          <t>United Arab Emirates|Murdoch University Dubai</t>
        </is>
      </c>
      <c r="B1159" s="3" t="inlineStr">
        <is>
          <t>United Arab Emirates</t>
        </is>
      </c>
      <c r="C1159" s="3" t="inlineStr">
        <is>
          <t>Дубай</t>
        </is>
      </c>
      <c r="D1159" s="3" t="inlineStr">
        <is>
          <t>Murdoch University Dubai</t>
        </is>
      </c>
      <c r="E1159" s="3" t="inlineStr"/>
      <c r="F1159" s="3" t="inlineStr">
        <is>
          <t>https://www.murdochuniversitydubai.com</t>
        </is>
      </c>
      <c r="G1159" s="3" t="inlineStr"/>
      <c r="H1159" s="3" t="inlineStr"/>
      <c r="I1159" s="3" t="inlineStr"/>
      <c r="J1159" s="4" t="inlineStr">
        <is>
          <t>не в рейтинге</t>
        </is>
      </c>
      <c r="K1159" s="4" t="inlineStr">
        <is>
          <t>не в рейтинге</t>
        </is>
      </c>
      <c r="L1159" s="4" t="inlineStr">
        <is>
          <t>нет в опубл. списке (опубликован только топ-15 страны)</t>
        </is>
      </c>
      <c r="M1159" s="4" t="inlineStr">
        <is>
          <t>нет общенационального рейтинга</t>
        </is>
      </c>
      <c r="N1159" s="4" t="inlineStr">
        <is>
          <t>—</t>
        </is>
      </c>
      <c r="O1159" s="4" t="inlineStr">
        <is>
          <t>https://www.moe.gov.ae/En/MediaCenter/News/pages/heis-classification.aspx</t>
        </is>
      </c>
      <c r="P1159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0">
      <c r="A1160" s="3" t="inlineStr">
        <is>
          <t>United Arab Emirates|New York University Abu Dhabi</t>
        </is>
      </c>
      <c r="B1160" s="3" t="inlineStr">
        <is>
          <t>United Arab Emirates</t>
        </is>
      </c>
      <c r="C1160" s="3" t="inlineStr">
        <is>
          <t>Абу-Даби</t>
        </is>
      </c>
      <c r="D1160" s="3" t="inlineStr">
        <is>
          <t>New York University Abu Dhabi</t>
        </is>
      </c>
      <c r="E1160" s="3" t="inlineStr">
        <is>
          <t>جامعة نيويورك أبوظبي</t>
        </is>
      </c>
      <c r="F1160" s="3" t="inlineStr">
        <is>
          <t>https://nyuad.nyu.edu</t>
        </is>
      </c>
      <c r="G1160" s="3" t="inlineStr"/>
      <c r="H1160" s="3" t="inlineStr"/>
      <c r="I1160" s="3" t="inlineStr"/>
      <c r="J1160" s="4" t="inlineStr">
        <is>
          <t>не в рейтинге</t>
        </is>
      </c>
      <c r="K1160" s="4" t="inlineStr">
        <is>
          <t>не в рейтинге</t>
        </is>
      </c>
      <c r="L1160" s="4" t="inlineStr">
        <is>
          <t>1155</t>
        </is>
      </c>
      <c r="M1160" s="4" t="inlineStr">
        <is>
          <t>нет общенационального рейтинга</t>
        </is>
      </c>
      <c r="N1160" s="4" t="inlineStr">
        <is>
          <t>—</t>
        </is>
      </c>
      <c r="O1160" s="4" t="inlineStr">
        <is>
          <t>https://figshare.com/articles/preprint/Ranking_Web_of_Universities_webometrics_info_July_2026_edition/33062150
https://www.moe.gov.ae/En/MediaCenter/News/pages/heis-classification.aspx</t>
        </is>
      </c>
      <c r="P1160" s="4" t="inlineStr">
        <is>
          <t>Есть только National HEI Classification Framework (МинОбр ОАЭ, 06.2024): 4 группы без мест; публично названы лишь вузы Group 1. Этот вуз — в Group 1 (Outstanding), места внутри групп нет.</t>
        </is>
      </c>
    </row>
    <row r="1161">
      <c r="A1161" s="3" t="inlineStr">
        <is>
          <t>United Arab Emirates|RAK Medical and Health Sciences University</t>
        </is>
      </c>
      <c r="B1161" s="3" t="inlineStr">
        <is>
          <t>United Arab Emirates</t>
        </is>
      </c>
      <c r="C1161" s="3" t="inlineStr">
        <is>
          <t>Рас-эль-Хайма</t>
        </is>
      </c>
      <c r="D1161" s="3" t="inlineStr">
        <is>
          <t>RAK Medical and Health Sciences University</t>
        </is>
      </c>
      <c r="E1161" s="3" t="inlineStr">
        <is>
          <t>جامعة راس الخيمة للطب والعلوم الصحية</t>
        </is>
      </c>
      <c r="F1161" s="3" t="inlineStr">
        <is>
          <t>https://www.rakmhsu.ac.ae</t>
        </is>
      </c>
      <c r="G1161" s="3" t="inlineStr"/>
      <c r="H1161" s="3" t="inlineStr"/>
      <c r="I1161" s="3" t="inlineStr"/>
      <c r="J1161" s="4" t="inlineStr">
        <is>
          <t>не в рейтинге</t>
        </is>
      </c>
      <c r="K1161" s="4" t="inlineStr">
        <is>
          <t>Reporter</t>
        </is>
      </c>
      <c r="L1161" s="4" t="inlineStr">
        <is>
          <t>нет в опубл. списке (опубликован только топ-15 страны)</t>
        </is>
      </c>
      <c r="M1161" s="4" t="inlineStr">
        <is>
          <t>нет общенационального рейтинга</t>
        </is>
      </c>
      <c r="N1161" s="4" t="inlineStr">
        <is>
          <t>—</t>
        </is>
      </c>
      <c r="O1161" s="4" t="inlineStr">
        <is>
          <t>https://www.timeshighereducation.com/world-university-rankings/2027/world-ranking
https://www.moe.gov.ae/En/MediaCenter/News/pages/heis-classification.aspx</t>
        </is>
      </c>
      <c r="P1161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2">
      <c r="A1162" s="3" t="inlineStr">
        <is>
          <t>United Arab Emirates|Rabdan Academy</t>
        </is>
      </c>
      <c r="B1162" s="3" t="inlineStr">
        <is>
          <t>United Arab Emirates</t>
        </is>
      </c>
      <c r="C1162" s="3" t="inlineStr">
        <is>
          <t>Абу-Даби</t>
        </is>
      </c>
      <c r="D1162" s="3" t="inlineStr">
        <is>
          <t>Rabdan Academy</t>
        </is>
      </c>
      <c r="E1162" s="3" t="inlineStr">
        <is>
          <t>أكاديمية ربدان</t>
        </is>
      </c>
      <c r="F1162" s="3" t="inlineStr">
        <is>
          <t>https://www.ra.ac.ae</t>
        </is>
      </c>
      <c r="G1162" s="3" t="inlineStr"/>
      <c r="H1162" s="3" t="inlineStr">
        <is>
          <t>THE2027: Reporter (unranked)</t>
        </is>
      </c>
      <c r="I1162" s="3" t="inlineStr"/>
      <c r="J1162" s="4" t="inlineStr">
        <is>
          <t>не в рейтинге</t>
        </is>
      </c>
      <c r="K1162" s="4" t="inlineStr">
        <is>
          <t>Reporter</t>
        </is>
      </c>
      <c r="L1162" s="4" t="inlineStr">
        <is>
          <t>нет в опубл. списке (опубликован только топ-15 страны)</t>
        </is>
      </c>
      <c r="M1162" s="4" t="inlineStr">
        <is>
          <t>нет общенационального рейтинга</t>
        </is>
      </c>
      <c r="N1162" s="4" t="inlineStr">
        <is>
          <t>—</t>
        </is>
      </c>
      <c r="O1162" s="4" t="inlineStr">
        <is>
          <t>https://www.timeshighereducation.com/world-university-rankings/2027/world-ranking
https://www.moe.gov.ae/En/MediaCenter/News/pages/heis-classification.aspx</t>
        </is>
      </c>
      <c r="P1162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3">
      <c r="A1163" s="3" t="inlineStr">
        <is>
          <t>United Arab Emirates|Rochester Institute of Technology Dubai</t>
        </is>
      </c>
      <c r="B1163" s="3" t="inlineStr">
        <is>
          <t>United Arab Emirates</t>
        </is>
      </c>
      <c r="C1163" s="3" t="inlineStr">
        <is>
          <t>Дубай</t>
        </is>
      </c>
      <c r="D1163" s="3" t="inlineStr">
        <is>
          <t>Rochester Institute of Technology Dubai</t>
        </is>
      </c>
      <c r="E1163" s="3" t="inlineStr"/>
      <c r="F1163" s="3" t="inlineStr">
        <is>
          <t>https://www.rit.edu/dubai</t>
        </is>
      </c>
      <c r="G1163" s="3" t="inlineStr"/>
      <c r="H1163" s="3" t="inlineStr"/>
      <c r="I1163" s="3" t="inlineStr"/>
      <c r="J1163" s="4" t="inlineStr">
        <is>
          <t>не в рейтинге</t>
        </is>
      </c>
      <c r="K1163" s="4" t="inlineStr">
        <is>
          <t>не в рейтинге</t>
        </is>
      </c>
      <c r="L1163" s="4" t="inlineStr">
        <is>
          <t>нет в опубл. списке (опубликован только топ-15 страны)</t>
        </is>
      </c>
      <c r="M1163" s="4" t="inlineStr">
        <is>
          <t>нет общенационального рейтинга</t>
        </is>
      </c>
      <c r="N1163" s="4" t="inlineStr">
        <is>
          <t>—</t>
        </is>
      </c>
      <c r="O1163" s="4" t="inlineStr">
        <is>
          <t>https://www.moe.gov.ae/En/MediaCenter/News/pages/heis-classification.aspx</t>
        </is>
      </c>
      <c r="P1163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4">
      <c r="A1164" s="3" t="inlineStr">
        <is>
          <t>United Arab Emirates|Sorbonne University Abu Dhabi</t>
        </is>
      </c>
      <c r="B1164" s="3" t="inlineStr">
        <is>
          <t>United Arab Emirates</t>
        </is>
      </c>
      <c r="C1164" s="3" t="inlineStr">
        <is>
          <t>Абу-Даби</t>
        </is>
      </c>
      <c r="D1164" s="3" t="inlineStr">
        <is>
          <t>Sorbonne University Abu Dhabi</t>
        </is>
      </c>
      <c r="E1164" s="3" t="inlineStr">
        <is>
          <t>جامعة السوربون أبوظبي</t>
        </is>
      </c>
      <c r="F1164" s="3" t="inlineStr">
        <is>
          <t>https://www.sorbonne.ae</t>
        </is>
      </c>
      <c r="G1164" s="3" t="inlineStr"/>
      <c r="H1164" s="3" t="inlineStr">
        <is>
          <t>THE2027: Reporter (unranked)</t>
        </is>
      </c>
      <c r="I1164" s="3" t="inlineStr"/>
      <c r="J1164" s="4" t="inlineStr">
        <is>
          <t>не в рейтинге</t>
        </is>
      </c>
      <c r="K1164" s="4" t="inlineStr">
        <is>
          <t>Reporter</t>
        </is>
      </c>
      <c r="L1164" s="4" t="inlineStr">
        <is>
          <t>нет в опубл. списке (опубликован только топ-15 страны)</t>
        </is>
      </c>
      <c r="M1164" s="4" t="inlineStr">
        <is>
          <t>нет общенационального рейтинга</t>
        </is>
      </c>
      <c r="N1164" s="4" t="inlineStr">
        <is>
          <t>—</t>
        </is>
      </c>
      <c r="O1164" s="4" t="inlineStr">
        <is>
          <t>https://www.timeshighereducation.com/world-university-rankings/2027/world-ranking
https://www.moe.gov.ae/En/MediaCenter/News/pages/heis-classification.aspx</t>
        </is>
      </c>
      <c r="P1164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5">
      <c r="A1165" s="3" t="inlineStr">
        <is>
          <t>United Arab Emirates|Technology Innovation Institute (TII)</t>
        </is>
      </c>
      <c r="B1165" s="3" t="inlineStr">
        <is>
          <t>United Arab Emirates</t>
        </is>
      </c>
      <c r="C1165" s="3" t="inlineStr">
        <is>
          <t>Абу-Даби</t>
        </is>
      </c>
      <c r="D1165" s="3" t="inlineStr">
        <is>
          <t>Technology Innovation Institute (TII)</t>
        </is>
      </c>
      <c r="E1165" s="3" t="inlineStr">
        <is>
          <t>معهد الابتكار التكنولوجي</t>
        </is>
      </c>
      <c r="F1165" s="3" t="inlineStr">
        <is>
          <t>https://www.tii.ae</t>
        </is>
      </c>
      <c r="G1165" s="3" t="inlineStr"/>
      <c r="H1165" s="3" t="inlineStr"/>
      <c r="I1165" s="3" t="inlineStr"/>
      <c r="J1165" s="4" t="inlineStr">
        <is>
          <t>не в рейтинге</t>
        </is>
      </c>
      <c r="K1165" s="4" t="inlineStr">
        <is>
          <t>не в рейтинге</t>
        </is>
      </c>
      <c r="L1165" s="4" t="inlineStr">
        <is>
          <t>нет в опубл. списке (опубликован только топ-15 страны)</t>
        </is>
      </c>
      <c r="M1165" s="4" t="inlineStr">
        <is>
          <t>нет общенационального рейтинга</t>
        </is>
      </c>
      <c r="N1165" s="4" t="inlineStr">
        <is>
          <t>—</t>
        </is>
      </c>
      <c r="O1165" s="4" t="inlineStr">
        <is>
          <t>https://www.moe.gov.ae/En/MediaCenter/News/pages/heis-classification.aspx</t>
        </is>
      </c>
      <c r="P1165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6">
      <c r="A1166" s="3" t="inlineStr">
        <is>
          <t>United Arab Emirates|United Arab Emirates University</t>
        </is>
      </c>
      <c r="B1166" s="3" t="inlineStr">
        <is>
          <t>United Arab Emirates</t>
        </is>
      </c>
      <c r="C1166" s="3" t="inlineStr">
        <is>
          <t>Эль-Айн</t>
        </is>
      </c>
      <c r="D1166" s="3" t="inlineStr">
        <is>
          <t>United Arab Emirates University</t>
        </is>
      </c>
      <c r="E1166" s="3" t="inlineStr">
        <is>
          <t>جامعة الإمارات العربية المتحدة</t>
        </is>
      </c>
      <c r="F1166" s="3" t="inlineStr">
        <is>
          <t>https://www.uaeu.ac.ae</t>
        </is>
      </c>
      <c r="G1166" s="3" t="inlineStr">
        <is>
          <t>QS2027: 217</t>
        </is>
      </c>
      <c r="H1166" s="3" t="inlineStr">
        <is>
          <t>THE2027: =235</t>
        </is>
      </c>
      <c r="I1166" s="3" t="inlineStr"/>
      <c r="J1166" s="4" t="inlineStr">
        <is>
          <t>217</t>
        </is>
      </c>
      <c r="K1166" s="4">
        <f>235</f>
        <v/>
      </c>
      <c r="L1166" s="4" t="inlineStr">
        <is>
          <t>678</t>
        </is>
      </c>
      <c r="M1166" s="4" t="inlineStr">
        <is>
          <t>нет общенационального рейтинга</t>
        </is>
      </c>
      <c r="N1166" s="4" t="inlineStr">
        <is>
          <t>—</t>
        </is>
      </c>
      <c r="O116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66" s="4" t="inlineStr">
        <is>
          <t>Есть только National HEI Classification Framework (МинОбр ОАЭ, 06.2024): 4 группы без мест; публично названы лишь вузы Group 1. Этот вуз — в Group 1 (Outstanding), места внутри групп нет.</t>
        </is>
      </c>
    </row>
    <row r="1167">
      <c r="A1167" s="3" t="inlineStr">
        <is>
          <t>United Arab Emirates|University of Dubai</t>
        </is>
      </c>
      <c r="B1167" s="3" t="inlineStr">
        <is>
          <t>United Arab Emirates</t>
        </is>
      </c>
      <c r="C1167" s="3" t="inlineStr">
        <is>
          <t>Дубай</t>
        </is>
      </c>
      <c r="D1167" s="3" t="inlineStr">
        <is>
          <t>University of Dubai</t>
        </is>
      </c>
      <c r="E1167" s="3" t="inlineStr">
        <is>
          <t>جامعة دبي</t>
        </is>
      </c>
      <c r="F1167" s="3" t="inlineStr">
        <is>
          <t>https://ud.ac.ae</t>
        </is>
      </c>
      <c r="G1167" s="3" t="inlineStr">
        <is>
          <t>QS2027: 781–790</t>
        </is>
      </c>
      <c r="H1167" s="3" t="inlineStr">
        <is>
          <t>THE2027: Reporter (unranked)</t>
        </is>
      </c>
      <c r="I1167" s="3" t="inlineStr"/>
      <c r="J1167" s="4" t="inlineStr">
        <is>
          <t>781–790</t>
        </is>
      </c>
      <c r="K1167" s="4" t="inlineStr">
        <is>
          <t>Reporter</t>
        </is>
      </c>
      <c r="L1167" s="4" t="inlineStr">
        <is>
          <t>нет в опубл. списке (опубликован только топ-15 страны)</t>
        </is>
      </c>
      <c r="M1167" s="4" t="inlineStr">
        <is>
          <t>нет общенационального рейтинга</t>
        </is>
      </c>
      <c r="N1167" s="4" t="inlineStr">
        <is>
          <t>—</t>
        </is>
      </c>
      <c r="O1167" s="4" t="inlineStr">
        <is>
          <t>https://www.topuniversities.com/world-university-rankings (QS WUR 2027)
https://www.timeshighereducation.com/world-university-rankings/2027/world-ranking
https://www.moe.gov.ae/En/MediaCenter/News/pages/heis-classification.aspx</t>
        </is>
      </c>
      <c r="P1167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8">
      <c r="A1168" s="3" t="inlineStr">
        <is>
          <t>United Arab Emirates|University of Sharjah</t>
        </is>
      </c>
      <c r="B1168" s="3" t="inlineStr">
        <is>
          <t>United Arab Emirates</t>
        </is>
      </c>
      <c r="C1168" s="3" t="inlineStr">
        <is>
          <t>Шарджа</t>
        </is>
      </c>
      <c r="D1168" s="3" t="inlineStr">
        <is>
          <t>University of Sharjah</t>
        </is>
      </c>
      <c r="E1168" s="3" t="inlineStr">
        <is>
          <t>جامعة الشارقة</t>
        </is>
      </c>
      <c r="F1168" s="3" t="inlineStr">
        <is>
          <t>https://www.sharjah.ac.ae</t>
        </is>
      </c>
      <c r="G1168" s="3" t="inlineStr">
        <is>
          <t>QS2027: 283</t>
        </is>
      </c>
      <c r="H1168" s="3" t="inlineStr">
        <is>
          <t>THE2027: 301–325</t>
        </is>
      </c>
      <c r="I1168" s="3" t="inlineStr"/>
      <c r="J1168" s="4">
        <f>283</f>
        <v/>
      </c>
      <c r="K1168" s="4" t="inlineStr">
        <is>
          <t>301–325</t>
        </is>
      </c>
      <c r="L1168" s="4" t="inlineStr">
        <is>
          <t>793</t>
        </is>
      </c>
      <c r="M1168" s="4" t="inlineStr">
        <is>
          <t>нет общенационального рейтинга</t>
        </is>
      </c>
      <c r="N1168" s="4" t="inlineStr">
        <is>
          <t>—</t>
        </is>
      </c>
      <c r="O116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68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69">
      <c r="A1169" s="3" t="inlineStr">
        <is>
          <t>United Arab Emirates|Zayed University</t>
        </is>
      </c>
      <c r="B1169" s="3" t="inlineStr">
        <is>
          <t>United Arab Emirates</t>
        </is>
      </c>
      <c r="C1169" s="3" t="inlineStr">
        <is>
          <t>Абу-Даби</t>
        </is>
      </c>
      <c r="D1169" s="3" t="inlineStr">
        <is>
          <t>Zayed University</t>
        </is>
      </c>
      <c r="E1169" s="3" t="inlineStr">
        <is>
          <t>جامعة زايد</t>
        </is>
      </c>
      <c r="F1169" s="3" t="inlineStr">
        <is>
          <t>https://www.zu.ac.ae</t>
        </is>
      </c>
      <c r="G1169" s="3" t="inlineStr"/>
      <c r="H1169" s="3" t="inlineStr">
        <is>
          <t>THE2027: 501–550</t>
        </is>
      </c>
      <c r="I1169" s="3" t="inlineStr"/>
      <c r="J1169" s="4">
        <f>588</f>
        <v/>
      </c>
      <c r="K1169" s="4" t="inlineStr">
        <is>
          <t>501–550</t>
        </is>
      </c>
      <c r="L1169" s="4" t="inlineStr">
        <is>
          <t>1642</t>
        </is>
      </c>
      <c r="M1169" s="4" t="inlineStr">
        <is>
          <t>нет общенационального рейтинга</t>
        </is>
      </c>
      <c r="N1169" s="4" t="inlineStr">
        <is>
          <t>—</t>
        </is>
      </c>
      <c r="O1169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P1169" s="4" t="inlineStr">
        <is>
          <t>Есть только National HEI Classification Framework (МинОбр ОАЭ, 06.2024): 4 группы без мест; публично названы лишь вузы Group 1.</t>
        </is>
      </c>
    </row>
    <row r="1170">
      <c r="A1170" s="3" t="inlineStr">
        <is>
          <t>Uzbekistan|"Tashkent Institute of Irrigation and Agricultural Mechanization Engineers" National Research University (TIIAME-NRU)</t>
        </is>
      </c>
      <c r="B1170" s="3" t="inlineStr">
        <is>
          <t>Uzbekistan</t>
        </is>
      </c>
      <c r="C1170" s="3" t="inlineStr">
        <is>
          <t>Ташкент</t>
        </is>
      </c>
      <c r="D1170" s="3" t="inlineStr">
        <is>
          <t>"Tashkent Institute of Irrigation and Agricultural Mechanization Engineers" National Research University (TIIAME-NRU)</t>
        </is>
      </c>
      <c r="E1170" s="3" t="inlineStr">
        <is>
          <t>"Toshkent irrigatsiya va qishloq xo‘jaligini mexanizatsiyalash muhandislari instituti" Milliy tadqiqot universiteti</t>
        </is>
      </c>
      <c r="F1170" s="3" t="inlineStr">
        <is>
          <t>https://tiiame.uz</t>
        </is>
      </c>
      <c r="G1170" s="3" t="inlineStr">
        <is>
          <t>QS2027: 458</t>
        </is>
      </c>
      <c r="H1170" s="3" t="inlineStr">
        <is>
          <t>THE2027: 551–600</t>
        </is>
      </c>
      <c r="I1170" s="3" t="inlineStr"/>
      <c r="J1170" s="4">
        <f>458</f>
        <v/>
      </c>
      <c r="K1170" s="4" t="inlineStr">
        <is>
          <t>551–600</t>
        </is>
      </c>
      <c r="L1170" s="4" t="inlineStr">
        <is>
          <t>3173</t>
        </is>
      </c>
      <c r="M1170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0" s="4" t="inlineStr">
        <is>
          <t>1</t>
        </is>
      </c>
      <c r="O1170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P1170" s="4" t="inlineStr">
        <is>
          <t>QS: в таблице как «Tashkent Institute of Irrigation and Agricultural Mechanization Engineers - National Research University (TIIAME-NRU)»; THE: в таблице как «Tashkent Institute of Irrigation and Agricultural Mechanisation»;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71">
      <c r="A1171" s="3" t="inlineStr">
        <is>
          <t>Uzbekistan|Alfraganus University</t>
        </is>
      </c>
      <c r="B1171" s="3" t="inlineStr">
        <is>
          <t>Uzbekistan</t>
        </is>
      </c>
      <c r="C1171" s="3" t="inlineStr">
        <is>
          <t>Ташкент</t>
        </is>
      </c>
      <c r="D1171" s="3" t="inlineStr">
        <is>
          <t>Alfraganus University</t>
        </is>
      </c>
      <c r="E1171" s="3" t="inlineStr">
        <is>
          <t>Alfraganus universiteti</t>
        </is>
      </c>
      <c r="F1171" s="3" t="inlineStr">
        <is>
          <t>https://afu.uz</t>
        </is>
      </c>
      <c r="G1171" s="3" t="inlineStr"/>
      <c r="H1171" s="3" t="inlineStr"/>
      <c r="I1171" s="3" t="inlineStr"/>
      <c r="J1171" s="4" t="inlineStr">
        <is>
          <t>не в рейтинге</t>
        </is>
      </c>
      <c r="K1171" s="4" t="inlineStr">
        <is>
          <t>Reporter</t>
        </is>
      </c>
      <c r="L1171" s="4" t="inlineStr">
        <is>
          <t>нет в опубл. списке (опубликован только топ-15 страны)</t>
        </is>
      </c>
      <c r="M1171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1" s="4" t="inlineStr">
        <is>
          <t>не в рейтинге</t>
        </is>
      </c>
      <c r="O1171" s="4" t="inlineStr">
        <is>
          <t>https://www.timeshighereducation.com/world-university-rankings/2027/world-ranking
https://devedu.uz/2314/</t>
        </is>
      </c>
      <c r="P1171" s="4" t="inlineStr">
        <is>
          <t>Отсутствует в полной таблице (76 мест); рейтинг охватывал государственные ОВО — негосударственные вузы и филиалы иностранных вузов в него не входили.</t>
        </is>
      </c>
    </row>
    <row r="1172">
      <c r="A1172" s="3" t="inlineStr">
        <is>
          <t>Uzbekistan|Alisher Navoi Tashkent State University of Uzbek Language and Literature</t>
        </is>
      </c>
      <c r="B1172" s="3" t="inlineStr">
        <is>
          <t>Uzbekistan</t>
        </is>
      </c>
      <c r="C1172" s="3" t="inlineStr">
        <is>
          <t>Ташкент</t>
        </is>
      </c>
      <c r="D1172" s="3" t="inlineStr">
        <is>
          <t>Alisher Navoi Tashkent State University of Uzbek Language and Literature</t>
        </is>
      </c>
      <c r="E1172" s="3" t="inlineStr">
        <is>
          <t>Alisher Navoiy nomidagi Toshkent davlat o‘zbek tili va adabiyoti universiteti</t>
        </is>
      </c>
      <c r="F1172" s="3" t="inlineStr">
        <is>
          <t>https://tsuull.uz</t>
        </is>
      </c>
      <c r="G1172" s="3" t="inlineStr"/>
      <c r="H1172" s="3" t="inlineStr"/>
      <c r="I1172" s="3" t="inlineStr"/>
      <c r="J1172" s="4" t="inlineStr">
        <is>
          <t>не в рейтинге</t>
        </is>
      </c>
      <c r="K1172" s="4" t="inlineStr">
        <is>
          <t>Reporter</t>
        </is>
      </c>
      <c r="L1172" s="4" t="inlineStr">
        <is>
          <t>нет в опубл. списке (опубликован только топ-15 страны)</t>
        </is>
      </c>
      <c r="M1172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2" s="4" t="inlineStr">
        <is>
          <t>36</t>
        </is>
      </c>
      <c r="O1172" s="4" t="inlineStr">
        <is>
          <t>https://www.timeshighereducation.com/world-university-rankings/2027/world-ranking
https://devedu.uz/2314/</t>
        </is>
      </c>
      <c r="P1172" s="4" t="inlineStr">
        <is>
          <t>THE: в таблице как «Alisher Navo’i Tashkent State University of Uzbek Language and Literature»;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73">
      <c r="A1173" s="3" t="inlineStr">
        <is>
          <t>Uzbekistan|Bukhara State University</t>
        </is>
      </c>
      <c r="B1173" s="3" t="inlineStr">
        <is>
          <t>Uzbekistan</t>
        </is>
      </c>
      <c r="C1173" s="3" t="inlineStr">
        <is>
          <t>Бухара</t>
        </is>
      </c>
      <c r="D1173" s="3" t="inlineStr">
        <is>
          <t>Bukhara State University</t>
        </is>
      </c>
      <c r="E1173" s="3" t="inlineStr">
        <is>
          <t>Buxoro davlat universiteti</t>
        </is>
      </c>
      <c r="F1173" s="3" t="inlineStr">
        <is>
          <t>https://buxdu.uz</t>
        </is>
      </c>
      <c r="G1173" s="3" t="inlineStr"/>
      <c r="H1173" s="3" t="inlineStr"/>
      <c r="I1173" s="3" t="inlineStr"/>
      <c r="J1173" s="4" t="inlineStr">
        <is>
          <t>не в рейтинге</t>
        </is>
      </c>
      <c r="K1173" s="4" t="inlineStr">
        <is>
          <t>Reporter</t>
        </is>
      </c>
      <c r="L1173" s="4" t="inlineStr">
        <is>
          <t>5292</t>
        </is>
      </c>
      <c r="M1173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3" s="4" t="inlineStr">
        <is>
          <t>16</t>
        </is>
      </c>
      <c r="O1173" s="4" t="inlineStr">
        <is>
          <t>https://www.timeshighereducation.com/world-university-rankings/2027/world-ranking
https://figshare.com/articles/preprint/Ranking_Web_of_Universities_webometrics_info_July_2026_edition/33062150
https://devedu.uz/2314/</t>
        </is>
      </c>
      <c r="P1173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74">
      <c r="A1174" s="3" t="inlineStr">
        <is>
          <t>Uzbekistan|Central Asian University</t>
        </is>
      </c>
      <c r="B1174" s="3" t="inlineStr">
        <is>
          <t>Uzbekistan</t>
        </is>
      </c>
      <c r="C1174" s="3" t="inlineStr">
        <is>
          <t>Ташкент</t>
        </is>
      </c>
      <c r="D1174" s="3" t="inlineStr">
        <is>
          <t>Central Asian University</t>
        </is>
      </c>
      <c r="E1174" s="3" t="inlineStr">
        <is>
          <t>Central Asian University (Toshkent)</t>
        </is>
      </c>
      <c r="F1174" s="3" t="inlineStr">
        <is>
          <t>https://centralasian.uz</t>
        </is>
      </c>
      <c r="G1174" s="3" t="inlineStr"/>
      <c r="H1174" s="3" t="inlineStr"/>
      <c r="I1174" s="3" t="inlineStr"/>
      <c r="J1174" s="4" t="inlineStr">
        <is>
          <t>не в рейтинге</t>
        </is>
      </c>
      <c r="K1174" s="4" t="inlineStr">
        <is>
          <t>Reporter</t>
        </is>
      </c>
      <c r="L1174" s="4" t="inlineStr">
        <is>
          <t>нет в опубл. списке (опубликован только топ-15 страны)</t>
        </is>
      </c>
      <c r="M1174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4" s="4" t="inlineStr">
        <is>
          <t>не в рейтинге</t>
        </is>
      </c>
      <c r="O1174" s="4" t="inlineStr">
        <is>
          <t>https://www.timeshighereducation.com/world-university-rankings/2027/world-ranking
https://devedu.uz/2314/</t>
        </is>
      </c>
      <c r="P1174" s="4" t="inlineStr">
        <is>
          <t>THE: в таблице как «Central Asian University CAU»; Отсутствует в полной таблице (76 мест); рейтинг охватывал государственные ОВО — негосударственные вузы и филиалы иностранных вузов в него не входили.</t>
        </is>
      </c>
    </row>
    <row r="1175">
      <c r="A1175" s="3" t="inlineStr">
        <is>
          <t>Uzbekistan|Fergana State University</t>
        </is>
      </c>
      <c r="B1175" s="3" t="inlineStr">
        <is>
          <t>Uzbekistan</t>
        </is>
      </c>
      <c r="C1175" s="3" t="inlineStr">
        <is>
          <t>Фергана</t>
        </is>
      </c>
      <c r="D1175" s="3" t="inlineStr">
        <is>
          <t>Fergana State University</t>
        </is>
      </c>
      <c r="E1175" s="3" t="inlineStr">
        <is>
          <t>Farg‘ona davlat universiteti</t>
        </is>
      </c>
      <c r="F1175" s="3" t="inlineStr">
        <is>
          <t>https://fdu.uz</t>
        </is>
      </c>
      <c r="G1175" s="3" t="inlineStr"/>
      <c r="H1175" s="3" t="inlineStr"/>
      <c r="I1175" s="3" t="inlineStr"/>
      <c r="J1175" s="4" t="inlineStr">
        <is>
          <t>не в рейтинге</t>
        </is>
      </c>
      <c r="K1175" s="4" t="inlineStr">
        <is>
          <t>Reporter</t>
        </is>
      </c>
      <c r="L1175" s="4" t="inlineStr">
        <is>
          <t>нет в опубл. списке (опубликован только топ-15 страны)</t>
        </is>
      </c>
      <c r="M1175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5" s="4" t="inlineStr">
        <is>
          <t>25</t>
        </is>
      </c>
      <c r="O1175" s="4" t="inlineStr">
        <is>
          <t>https://www.timeshighereducation.com/world-university-rankings/2027/world-ranking
https://devedu.uz/2314/</t>
        </is>
      </c>
      <c r="P1175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76">
      <c r="A1176" s="3" t="inlineStr">
        <is>
          <t>Uzbekistan|Inha University in Tashkent</t>
        </is>
      </c>
      <c r="B1176" s="3" t="inlineStr">
        <is>
          <t>Uzbekistan</t>
        </is>
      </c>
      <c r="C1176" s="3" t="inlineStr">
        <is>
          <t>Ташкент</t>
        </is>
      </c>
      <c r="D1176" s="3" t="inlineStr">
        <is>
          <t>Inha University in Tashkent</t>
        </is>
      </c>
      <c r="E1176" s="3" t="inlineStr">
        <is>
          <t>Toshkent shahridagi Inha universiteti</t>
        </is>
      </c>
      <c r="F1176" s="3" t="inlineStr">
        <is>
          <t>https://inha.uz</t>
        </is>
      </c>
      <c r="G1176" s="3" t="inlineStr"/>
      <c r="H1176" s="3" t="inlineStr"/>
      <c r="I1176" s="3" t="inlineStr"/>
      <c r="J1176" s="4" t="inlineStr">
        <is>
          <t>не в рейтинге</t>
        </is>
      </c>
      <c r="K1176" s="4" t="inlineStr">
        <is>
          <t>не в рейтинге</t>
        </is>
      </c>
      <c r="L1176" s="4" t="inlineStr">
        <is>
          <t>нет в опубл. списке (опубликован только топ-15 страны)</t>
        </is>
      </c>
      <c r="M1176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6" s="4" t="inlineStr">
        <is>
          <t>не в рейтинге</t>
        </is>
      </c>
      <c r="O1176" s="4" t="inlineStr">
        <is>
          <t>https://devedu.uz/2314/</t>
        </is>
      </c>
      <c r="P1176" s="4" t="inlineStr">
        <is>
          <t>Отсутствует в полной таблице (76 мест); рейтинг охватывал государственные ОВО — негосударственные вузы и филиалы иностранных вузов в него не входили.</t>
        </is>
      </c>
    </row>
    <row r="1177">
      <c r="A1177" s="3" t="inlineStr">
        <is>
          <t>Uzbekistan|Institute of Agriculture and Agrotechnologies of Karakalpakstan</t>
        </is>
      </c>
      <c r="B1177" s="3" t="inlineStr">
        <is>
          <t>Uzbekistan</t>
        </is>
      </c>
      <c r="C1177" s="3" t="inlineStr">
        <is>
          <t>Нукус</t>
        </is>
      </c>
      <c r="D1177" s="3" t="inlineStr">
        <is>
          <t>Institute of Agriculture and Agrotechnologies of Karakalpakstan</t>
        </is>
      </c>
      <c r="E1177" s="3" t="inlineStr">
        <is>
          <t>Qoraqalpog‘iston qishloq xo‘jaligi va agrotexnologiyalar instituti / Qaraqalpaqstan awıl xojalıǵı hám agrotexnologiyalar instituti</t>
        </is>
      </c>
      <c r="F1177" s="3" t="inlineStr">
        <is>
          <t>https://tdaunukus.uz</t>
        </is>
      </c>
      <c r="G1177" s="3" t="inlineStr"/>
      <c r="H1177" s="3" t="inlineStr"/>
      <c r="I1177" s="3" t="inlineStr"/>
      <c r="J1177" s="4" t="inlineStr">
        <is>
          <t>не в рейтинге</t>
        </is>
      </c>
      <c r="K1177" s="4" t="inlineStr">
        <is>
          <t>Reporter</t>
        </is>
      </c>
      <c r="L1177" s="4" t="inlineStr">
        <is>
          <t>нет в опубл. списке (опубликован только топ-15 страны)</t>
        </is>
      </c>
      <c r="M1177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7" s="4" t="inlineStr">
        <is>
          <t>68</t>
        </is>
      </c>
      <c r="O1177" s="4" t="inlineStr">
        <is>
          <t>https://www.timeshighereducation.com/world-university-rankings/2027/world-ranking
https://devedu.uz/2314/</t>
        </is>
      </c>
      <c r="P1177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78">
      <c r="A1178" s="3" t="inlineStr">
        <is>
          <t>Uzbekistan|Jizzakh Polytechnic Institute</t>
        </is>
      </c>
      <c r="B1178" s="3" t="inlineStr">
        <is>
          <t>Uzbekistan</t>
        </is>
      </c>
      <c r="C1178" s="3" t="inlineStr">
        <is>
          <t>Джизак</t>
        </is>
      </c>
      <c r="D1178" s="3" t="inlineStr">
        <is>
          <t>Jizzakh Polytechnic Institute</t>
        </is>
      </c>
      <c r="E1178" s="3" t="inlineStr">
        <is>
          <t>Jizzax politexnika instituti</t>
        </is>
      </c>
      <c r="F1178" s="3" t="inlineStr">
        <is>
          <t>https://jizpi.uz</t>
        </is>
      </c>
      <c r="G1178" s="3" t="inlineStr"/>
      <c r="H1178" s="3" t="inlineStr"/>
      <c r="I1178" s="3" t="inlineStr"/>
      <c r="J1178" s="4" t="inlineStr">
        <is>
          <t>не в рейтинге</t>
        </is>
      </c>
      <c r="K1178" s="4" t="inlineStr">
        <is>
          <t>Reporter</t>
        </is>
      </c>
      <c r="L1178" s="4" t="inlineStr">
        <is>
          <t>нет в опубл. списке (опубликован только топ-15 страны)</t>
        </is>
      </c>
      <c r="M1178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8" s="4" t="inlineStr">
        <is>
          <t>20</t>
        </is>
      </c>
      <c r="O1178" s="4" t="inlineStr">
        <is>
          <t>https://www.timeshighereducation.com/world-university-rankings/2027/world-ranking
https://devedu.uz/2314/</t>
        </is>
      </c>
      <c r="P1178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79">
      <c r="A1179" s="3" t="inlineStr">
        <is>
          <t>Uzbekistan|Karakalpak State University named after Berdakh</t>
        </is>
      </c>
      <c r="B1179" s="3" t="inlineStr">
        <is>
          <t>Uzbekistan</t>
        </is>
      </c>
      <c r="C1179" s="3" t="inlineStr">
        <is>
          <t>Нукус</t>
        </is>
      </c>
      <c r="D1179" s="3" t="inlineStr">
        <is>
          <t>Karakalpak State University named after Berdakh</t>
        </is>
      </c>
      <c r="E1179" s="3" t="inlineStr">
        <is>
          <t>Berdaq nomidagi Qoraqalpoq davlat universiteti</t>
        </is>
      </c>
      <c r="F1179" s="3" t="inlineStr">
        <is>
          <t>https://karsu.uz</t>
        </is>
      </c>
      <c r="G1179" s="3" t="inlineStr"/>
      <c r="H1179" s="3" t="inlineStr"/>
      <c r="I1179" s="3" t="inlineStr"/>
      <c r="J1179" s="4" t="inlineStr">
        <is>
          <t>не в рейтинге</t>
        </is>
      </c>
      <c r="K1179" s="4" t="inlineStr">
        <is>
          <t>не в рейтинге</t>
        </is>
      </c>
      <c r="L1179" s="4" t="inlineStr">
        <is>
          <t>6056</t>
        </is>
      </c>
      <c r="M1179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79" s="4" t="inlineStr">
        <is>
          <t>35</t>
        </is>
      </c>
      <c r="O1179" s="4" t="inlineStr">
        <is>
          <t>https://figshare.com/articles/preprint/Ranking_Web_of_Universities_webometrics_info_July_2026_edition/33062150
https://devedu.uz/2314/</t>
        </is>
      </c>
      <c r="P1179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80">
      <c r="A1180" s="3" t="inlineStr">
        <is>
          <t>Uzbekistan|Karshi State University</t>
        </is>
      </c>
      <c r="B1180" s="3" t="inlineStr">
        <is>
          <t>Uzbekistan</t>
        </is>
      </c>
      <c r="C1180" s="3" t="inlineStr">
        <is>
          <t>Карши</t>
        </is>
      </c>
      <c r="D1180" s="3" t="inlineStr">
        <is>
          <t>Karshi State University</t>
        </is>
      </c>
      <c r="E1180" s="3" t="inlineStr">
        <is>
          <t>Qarshi davlat universiteti</t>
        </is>
      </c>
      <c r="F1180" s="3" t="inlineStr">
        <is>
          <t>https://qarshidu.uz</t>
        </is>
      </c>
      <c r="G1180" s="3" t="inlineStr"/>
      <c r="H1180" s="3" t="inlineStr"/>
      <c r="I1180" s="3" t="inlineStr"/>
      <c r="J1180" s="4" t="inlineStr">
        <is>
          <t>не в рейтинге</t>
        </is>
      </c>
      <c r="K1180" s="4" t="inlineStr">
        <is>
          <t>Reporter</t>
        </is>
      </c>
      <c r="L1180" s="4" t="inlineStr">
        <is>
          <t>нет в опубл. списке (опубликован только топ-15 страны)</t>
        </is>
      </c>
      <c r="M1180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0" s="4" t="inlineStr">
        <is>
          <t>30</t>
        </is>
      </c>
      <c r="O1180" s="4" t="inlineStr">
        <is>
          <t>https://www.timeshighereducation.com/world-university-rankings/2027/world-ranking
https://devedu.uz/2314/</t>
        </is>
      </c>
      <c r="P1180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81">
      <c r="A1181" s="3" t="inlineStr">
        <is>
          <t>Uzbekistan|Kimyo International University in Tashkent</t>
        </is>
      </c>
      <c r="B1181" s="3" t="inlineStr">
        <is>
          <t>Uzbekistan</t>
        </is>
      </c>
      <c r="C1181" s="3" t="inlineStr">
        <is>
          <t>Ташкент</t>
        </is>
      </c>
      <c r="D1181" s="3" t="inlineStr">
        <is>
          <t>Kimyo International University in Tashkent</t>
        </is>
      </c>
      <c r="E1181" s="3" t="inlineStr">
        <is>
          <t>Toshkentdagi Kimyo xalqaro universiteti / Ташкентский международный университет Кимё</t>
        </is>
      </c>
      <c r="F1181" s="3" t="inlineStr">
        <is>
          <t>https://kiut.uz</t>
        </is>
      </c>
      <c r="G1181" s="3" t="inlineStr"/>
      <c r="H1181" s="3" t="inlineStr"/>
      <c r="I1181" s="3" t="inlineStr"/>
      <c r="J1181" s="4" t="inlineStr">
        <is>
          <t>не в рейтинге</t>
        </is>
      </c>
      <c r="K1181" s="4" t="inlineStr">
        <is>
          <t>Reporter</t>
        </is>
      </c>
      <c r="L1181" s="4" t="inlineStr">
        <is>
          <t>нет в опубл. списке (опубликован только топ-15 страны)</t>
        </is>
      </c>
      <c r="M1181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1" s="4" t="inlineStr">
        <is>
          <t>не в рейтинге</t>
        </is>
      </c>
      <c r="O1181" s="4" t="inlineStr">
        <is>
          <t>https://www.timeshighereducation.com/world-university-rankings/2027/world-ranking
https://devedu.uz/2314/</t>
        </is>
      </c>
      <c r="P1181" s="4" t="inlineStr">
        <is>
          <t>Отсутствует в полной таблице (76 мест); рейтинг охватывал государственные ОВО — негосударственные вузы и филиалы иностранных вузов в него не входили.</t>
        </is>
      </c>
    </row>
    <row r="1182">
      <c r="A1182" s="3" t="inlineStr">
        <is>
          <t>Uzbekistan|Namangan State University</t>
        </is>
      </c>
      <c r="B1182" s="3" t="inlineStr">
        <is>
          <t>Uzbekistan</t>
        </is>
      </c>
      <c r="C1182" s="3" t="inlineStr">
        <is>
          <t>Наманган</t>
        </is>
      </c>
      <c r="D1182" s="3" t="inlineStr">
        <is>
          <t>Namangan State University</t>
        </is>
      </c>
      <c r="E1182" s="3" t="inlineStr">
        <is>
          <t>Namangan davlat universiteti</t>
        </is>
      </c>
      <c r="F1182" s="3" t="inlineStr">
        <is>
          <t>https://namdu.uz</t>
        </is>
      </c>
      <c r="G1182" s="3" t="inlineStr"/>
      <c r="H1182" s="3" t="inlineStr"/>
      <c r="I1182" s="3" t="inlineStr"/>
      <c r="J1182" s="4" t="inlineStr">
        <is>
          <t>не в рейтинге</t>
        </is>
      </c>
      <c r="K1182" s="4" t="inlineStr">
        <is>
          <t>Reporter</t>
        </is>
      </c>
      <c r="L1182" s="4" t="inlineStr">
        <is>
          <t>нет в опубл. списке (опубликован только топ-15 страны)</t>
        </is>
      </c>
      <c r="M1182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2" s="4" t="inlineStr">
        <is>
          <t>52</t>
        </is>
      </c>
      <c r="O1182" s="4" t="inlineStr">
        <is>
          <t>https://www.timeshighereducation.com/world-university-rankings/2027/world-ranking
https://devedu.uz/2314/</t>
        </is>
      </c>
      <c r="P1182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83">
      <c r="A1183" s="3" t="inlineStr">
        <is>
          <t>Uzbekistan|National University of Uzbekistan named after Mirzo Ulugbek</t>
        </is>
      </c>
      <c r="B1183" s="3" t="inlineStr">
        <is>
          <t>Uzbekistan</t>
        </is>
      </c>
      <c r="C1183" s="3" t="inlineStr">
        <is>
          <t>Ташкент</t>
        </is>
      </c>
      <c r="D1183" s="3" t="inlineStr">
        <is>
          <t>National University of Uzbekistan named after Mirzo Ulugbek</t>
        </is>
      </c>
      <c r="E1183" s="3" t="inlineStr">
        <is>
          <t>Mirzo Ulug‘bek nomidagi O‘zbekiston Milliy universiteti</t>
        </is>
      </c>
      <c r="F1183" s="3" t="inlineStr">
        <is>
          <t>https://nuu.uz</t>
        </is>
      </c>
      <c r="G1183" s="3" t="inlineStr">
        <is>
          <t>QS2027: 801–850</t>
        </is>
      </c>
      <c r="H1183" s="3" t="inlineStr">
        <is>
          <t>THE2027: 1201–1400</t>
        </is>
      </c>
      <c r="I1183" s="3" t="inlineStr"/>
      <c r="J1183" s="4" t="inlineStr">
        <is>
          <t>801–850</t>
        </is>
      </c>
      <c r="K1183" s="4" t="inlineStr">
        <is>
          <t>1201–1400</t>
        </is>
      </c>
      <c r="L1183" s="4" t="inlineStr">
        <is>
          <t>2878</t>
        </is>
      </c>
      <c r="M1183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3" s="4" t="inlineStr">
        <is>
          <t>24</t>
        </is>
      </c>
      <c r="O118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P1183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84">
      <c r="A1184" s="3" t="inlineStr">
        <is>
          <t>Uzbekistan|Navoi State University</t>
        </is>
      </c>
      <c r="B1184" s="3" t="inlineStr">
        <is>
          <t>Uzbekistan</t>
        </is>
      </c>
      <c r="C1184" s="3" t="inlineStr">
        <is>
          <t>Навои</t>
        </is>
      </c>
      <c r="D1184" s="3" t="inlineStr">
        <is>
          <t>Navoi State University</t>
        </is>
      </c>
      <c r="E1184" s="3" t="inlineStr">
        <is>
          <t>Navoiy davlat universiteti</t>
        </is>
      </c>
      <c r="F1184" s="3" t="inlineStr">
        <is>
          <t>https://ndu.uz</t>
        </is>
      </c>
      <c r="G1184" s="3" t="inlineStr"/>
      <c r="H1184" s="3" t="inlineStr"/>
      <c r="I1184" s="3" t="inlineStr"/>
      <c r="J1184" s="4" t="inlineStr">
        <is>
          <t>не в рейтинге</t>
        </is>
      </c>
      <c r="K1184" s="4" t="inlineStr">
        <is>
          <t>Reporter</t>
        </is>
      </c>
      <c r="L1184" s="4" t="inlineStr">
        <is>
          <t>нет в опубл. списке (опубликован только топ-15 страны)</t>
        </is>
      </c>
      <c r="M1184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4" s="4" t="inlineStr">
        <is>
          <t>65</t>
        </is>
      </c>
      <c r="O1184" s="4" t="inlineStr">
        <is>
          <t>https://www.timeshighereducation.com/world-university-rankings/2027/world-ranking
https://devedu.uz/2314/</t>
        </is>
      </c>
      <c r="P1184" s="4" t="inlineStr">
        <is>
          <t>В рейтинге 2023 (итоги 2022) фигурирует предшественник — Навоийский государственный педагогический институт (65-е место); Навоийский ГУ создан на его базе постановлением ПП-378 от 31.10.2024. Сопоставление по правопреемству.</t>
        </is>
      </c>
    </row>
    <row r="1185">
      <c r="A1185" s="3" t="inlineStr">
        <is>
          <t>Uzbekistan|Navoi State University of Mining and Technologies</t>
        </is>
      </c>
      <c r="B1185" s="3" t="inlineStr">
        <is>
          <t>Uzbekistan</t>
        </is>
      </c>
      <c r="C1185" s="3" t="inlineStr">
        <is>
          <t>Навои</t>
        </is>
      </c>
      <c r="D1185" s="3" t="inlineStr">
        <is>
          <t>Navoi State University of Mining and Technologies</t>
        </is>
      </c>
      <c r="E1185" s="3" t="inlineStr">
        <is>
          <t>Navoiy davlat konchilik va texnologiyalar universiteti</t>
        </is>
      </c>
      <c r="F1185" s="3" t="inlineStr">
        <is>
          <t>https://nsumt.uz</t>
        </is>
      </c>
      <c r="G1185" s="3" t="inlineStr"/>
      <c r="H1185" s="3" t="inlineStr"/>
      <c r="I1185" s="3" t="inlineStr"/>
      <c r="J1185" s="4" t="inlineStr">
        <is>
          <t>не в рейтинге</t>
        </is>
      </c>
      <c r="K1185" s="4" t="inlineStr">
        <is>
          <t>Reporter</t>
        </is>
      </c>
      <c r="L1185" s="4" t="inlineStr">
        <is>
          <t>нет в опубл. списке (опубликован только топ-15 страны)</t>
        </is>
      </c>
      <c r="M1185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5" s="4" t="inlineStr">
        <is>
          <t>18</t>
        </is>
      </c>
      <c r="O1185" s="4" t="inlineStr">
        <is>
          <t>https://www.timeshighereducation.com/world-university-rankings/2027/world-ranking
https://devedu.uz/2314/</t>
        </is>
      </c>
      <c r="P1185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86">
      <c r="A1186" s="3" t="inlineStr">
        <is>
          <t>Uzbekistan|Renaissance Educational University</t>
        </is>
      </c>
      <c r="B1186" s="3" t="inlineStr">
        <is>
          <t>Uzbekistan</t>
        </is>
      </c>
      <c r="C1186" s="3" t="inlineStr">
        <is>
          <t>Ташкент</t>
        </is>
      </c>
      <c r="D1186" s="3" t="inlineStr">
        <is>
          <t>Renaissance Educational University</t>
        </is>
      </c>
      <c r="E1186" s="3" t="inlineStr">
        <is>
          <t>Renessans ta’lim universiteti</t>
        </is>
      </c>
      <c r="F1186" s="3" t="inlineStr">
        <is>
          <t>https://renessans-edu.uz</t>
        </is>
      </c>
      <c r="G1186" s="3" t="inlineStr"/>
      <c r="H1186" s="3" t="inlineStr"/>
      <c r="I1186" s="3" t="inlineStr"/>
      <c r="J1186" s="4" t="inlineStr">
        <is>
          <t>не в рейтинге</t>
        </is>
      </c>
      <c r="K1186" s="4" t="inlineStr">
        <is>
          <t>Reporter</t>
        </is>
      </c>
      <c r="L1186" s="4" t="inlineStr">
        <is>
          <t>нет в опубл. списке (опубликован только топ-15 страны)</t>
        </is>
      </c>
      <c r="M1186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6" s="4" t="inlineStr">
        <is>
          <t>не в рейтинге</t>
        </is>
      </c>
      <c r="O1186" s="4" t="inlineStr">
        <is>
          <t>https://www.timeshighereducation.com/world-university-rankings/2027/world-ranking
https://devedu.uz/2314/</t>
        </is>
      </c>
      <c r="P1186" s="4" t="inlineStr">
        <is>
          <t>Отсутствует в полной таблице (76 мест); рейтинг охватывал государственные ОВО — негосударственные вузы и филиалы иностранных вузов в него не входили.</t>
        </is>
      </c>
    </row>
    <row r="1187">
      <c r="A1187" s="3" t="inlineStr">
        <is>
          <t>Uzbekistan|Samarkand Institute of Economics and Service</t>
        </is>
      </c>
      <c r="B1187" s="3" t="inlineStr">
        <is>
          <t>Uzbekistan</t>
        </is>
      </c>
      <c r="C1187" s="3" t="inlineStr">
        <is>
          <t>Самарканд</t>
        </is>
      </c>
      <c r="D1187" s="3" t="inlineStr">
        <is>
          <t>Samarkand Institute of Economics and Service</t>
        </is>
      </c>
      <c r="E1187" s="3" t="inlineStr">
        <is>
          <t>Samarqand iqtisodiyot va servis instituti</t>
        </is>
      </c>
      <c r="F1187" s="3" t="inlineStr">
        <is>
          <t>https://sies.uz</t>
        </is>
      </c>
      <c r="G1187" s="3" t="inlineStr"/>
      <c r="H1187" s="3" t="inlineStr"/>
      <c r="I1187" s="3" t="inlineStr"/>
      <c r="J1187" s="4" t="inlineStr">
        <is>
          <t>не в рейтинге</t>
        </is>
      </c>
      <c r="K1187" s="4" t="inlineStr">
        <is>
          <t>Reporter</t>
        </is>
      </c>
      <c r="L1187" s="4" t="inlineStr">
        <is>
          <t>нет в опубл. списке (опубликован только топ-15 страны)</t>
        </is>
      </c>
      <c r="M1187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7" s="4" t="inlineStr">
        <is>
          <t>7</t>
        </is>
      </c>
      <c r="O1187" s="4" t="inlineStr">
        <is>
          <t>https://www.timeshighereducation.com/world-university-rankings/2027/world-ranking
https://devedu.uz/2314/</t>
        </is>
      </c>
      <c r="P1187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88">
      <c r="A1188" s="3" t="inlineStr">
        <is>
          <t>Uzbekistan|Samarkand State University named after Sharof Rashidov</t>
        </is>
      </c>
      <c r="B1188" s="3" t="inlineStr">
        <is>
          <t>Uzbekistan</t>
        </is>
      </c>
      <c r="C1188" s="3" t="inlineStr">
        <is>
          <t>Самарканд</t>
        </is>
      </c>
      <c r="D1188" s="3" t="inlineStr">
        <is>
          <t>Samarkand State University named after Sharof Rashidov</t>
        </is>
      </c>
      <c r="E1188" s="3" t="inlineStr">
        <is>
          <t>Sharof Rashidov nomidagi Samarqand davlat universiteti</t>
        </is>
      </c>
      <c r="F1188" s="3" t="inlineStr">
        <is>
          <t>https://www.samdu.uz</t>
        </is>
      </c>
      <c r="G1188" s="3" t="inlineStr">
        <is>
          <t>QS2027: 1001–1200</t>
        </is>
      </c>
      <c r="H1188" s="3" t="inlineStr">
        <is>
          <t>THE2027: 1201–1400</t>
        </is>
      </c>
      <c r="I1188" s="3" t="inlineStr"/>
      <c r="J1188" s="4" t="inlineStr">
        <is>
          <t>1001–1200</t>
        </is>
      </c>
      <c r="K1188" s="4" t="inlineStr">
        <is>
          <t>1201–1400</t>
        </is>
      </c>
      <c r="L1188" s="4" t="inlineStr">
        <is>
          <t>3764</t>
        </is>
      </c>
      <c r="M1188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8" s="4" t="inlineStr">
        <is>
          <t>29</t>
        </is>
      </c>
      <c r="O1188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P1188" s="4" t="inlineStr">
        <is>
          <t>QS: в таблице как «Samarkand State University»; THE: в таблице как «Samarkand State University»;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89">
      <c r="A1189" s="3" t="inlineStr">
        <is>
          <t>Uzbekistan|Space Research and Technology Agency "Uzbekcosmos" under the Ministry of Digital Technologies of the Republic of Uzbekistan</t>
        </is>
      </c>
      <c r="B1189" s="3" t="inlineStr">
        <is>
          <t>Uzbekistan</t>
        </is>
      </c>
      <c r="C1189" s="3" t="inlineStr">
        <is>
          <t>Ташкент</t>
        </is>
      </c>
      <c r="D1189" s="3" t="inlineStr">
        <is>
          <t>Space Research and Technology Agency "Uzbekcosmos" under the Ministry of Digital Technologies of the Republic of Uzbekistan</t>
        </is>
      </c>
      <c r="E1189" s="3" t="inlineStr">
        <is>
          <t>Raqamli texnologiyalar vazirligi huzuridagi Kosmik tadqiqotlar va texnologiyalar agentligi («O‘zbekkosmos» agentligi)</t>
        </is>
      </c>
      <c r="F1189" s="3" t="inlineStr">
        <is>
          <t>https://gov.uz/en/uzspace</t>
        </is>
      </c>
      <c r="G1189" s="3" t="inlineStr"/>
      <c r="H1189" s="3" t="inlineStr"/>
      <c r="I1189" s="3" t="inlineStr"/>
      <c r="J1189" s="4" t="inlineStr">
        <is>
          <t>не в рейтинге</t>
        </is>
      </c>
      <c r="K1189" s="4" t="inlineStr">
        <is>
          <t>не в рейтинге</t>
        </is>
      </c>
      <c r="L1189" s="4" t="inlineStr">
        <is>
          <t>нет в опубл. списке (опубликован только топ-15 страны)</t>
        </is>
      </c>
      <c r="M1189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89" s="4" t="inlineStr">
        <is>
          <t>не в рейтинге</t>
        </is>
      </c>
      <c r="O1189" s="4" t="inlineStr">
        <is>
          <t>https://devedu.uz/2314/</t>
        </is>
      </c>
      <c r="P1189" s="4" t="inlineStr">
        <is>
          <t>Не вуз (космическое агентство «Узбеккосмос») — в рейтинге ОВО не участвует.</t>
        </is>
      </c>
    </row>
    <row r="1190">
      <c r="A1190" s="3" t="inlineStr">
        <is>
          <t>Uzbekistan|Tashkent Institute of Chemical Technology</t>
        </is>
      </c>
      <c r="B1190" s="3" t="inlineStr">
        <is>
          <t>Uzbekistan</t>
        </is>
      </c>
      <c r="C1190" s="3" t="inlineStr">
        <is>
          <t>Ташкент</t>
        </is>
      </c>
      <c r="D1190" s="3" t="inlineStr">
        <is>
          <t>Tashkent Institute of Chemical Technology</t>
        </is>
      </c>
      <c r="E1190" s="3" t="inlineStr">
        <is>
          <t>Toshkent kimyo-texnologiya instituti</t>
        </is>
      </c>
      <c r="F1190" s="3" t="inlineStr">
        <is>
          <t>https://tkti.uz</t>
        </is>
      </c>
      <c r="G1190" s="3" t="inlineStr"/>
      <c r="H1190" s="3" t="inlineStr"/>
      <c r="I1190" s="3" t="inlineStr"/>
      <c r="J1190" s="4" t="inlineStr">
        <is>
          <t>не в рейтинге</t>
        </is>
      </c>
      <c r="K1190" s="4" t="inlineStr">
        <is>
          <t>Reporter</t>
        </is>
      </c>
      <c r="L1190" s="4" t="inlineStr">
        <is>
          <t>нет в опубл. списке (опубликован только топ-15 страны)</t>
        </is>
      </c>
      <c r="M1190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90" s="4" t="inlineStr">
        <is>
          <t>54</t>
        </is>
      </c>
      <c r="O1190" s="4" t="inlineStr">
        <is>
          <t>https://www.timeshighereducation.com/world-university-rankings/2027/world-ranking
https://devedu.uz/2314/</t>
        </is>
      </c>
      <c r="P1190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91">
      <c r="A1191" s="3" t="inlineStr">
        <is>
          <t>Uzbekistan|Tashkent State Technical University named after Islam Karimov</t>
        </is>
      </c>
      <c r="B1191" s="3" t="inlineStr">
        <is>
          <t>Uzbekistan</t>
        </is>
      </c>
      <c r="C1191" s="3" t="inlineStr">
        <is>
          <t>Ташкент</t>
        </is>
      </c>
      <c r="D1191" s="3" t="inlineStr">
        <is>
          <t>Tashkent State Technical University named after Islam Karimov</t>
        </is>
      </c>
      <c r="E1191" s="3" t="inlineStr">
        <is>
          <t>Islom Karimov nomidagi Toshkent davlat texnika universiteti</t>
        </is>
      </c>
      <c r="F1191" s="3" t="inlineStr">
        <is>
          <t>https://tdtu.uz</t>
        </is>
      </c>
      <c r="G1191" s="3" t="inlineStr">
        <is>
          <t>QS2027: 1001–1200</t>
        </is>
      </c>
      <c r="H1191" s="3" t="inlineStr">
        <is>
          <t>THE2027: 1001–1200</t>
        </is>
      </c>
      <c r="I1191" s="3" t="inlineStr"/>
      <c r="J1191" s="4" t="inlineStr">
        <is>
          <t>1001–1200</t>
        </is>
      </c>
      <c r="K1191" s="4" t="inlineStr">
        <is>
          <t>1001–1200</t>
        </is>
      </c>
      <c r="L1191" s="4" t="inlineStr">
        <is>
          <t>4487</t>
        </is>
      </c>
      <c r="M1191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91" s="4" t="inlineStr">
        <is>
          <t>12</t>
        </is>
      </c>
      <c r="O119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P1191" s="4" t="inlineStr">
        <is>
          <t>QS: в таблице как «Tashkent State Technical University»; THE: в таблице как «Tashkent State Technical University»;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92">
      <c r="A1192" s="3" t="inlineStr">
        <is>
          <t>Uzbekistan|Tashkent State Transport University</t>
        </is>
      </c>
      <c r="B1192" s="3" t="inlineStr">
        <is>
          <t>Uzbekistan</t>
        </is>
      </c>
      <c r="C1192" s="3" t="inlineStr">
        <is>
          <t>Ташкент</t>
        </is>
      </c>
      <c r="D1192" s="3" t="inlineStr">
        <is>
          <t>Tashkent State Transport University</t>
        </is>
      </c>
      <c r="E1192" s="3" t="inlineStr">
        <is>
          <t>Toshkent davlat transport universiteti</t>
        </is>
      </c>
      <c r="F1192" s="3" t="inlineStr">
        <is>
          <t>https://tstu.uz</t>
        </is>
      </c>
      <c r="G1192" s="3" t="inlineStr">
        <is>
          <t>QS2027: 1201–1400</t>
        </is>
      </c>
      <c r="H1192" s="3" t="inlineStr">
        <is>
          <t>THE2027: 1001–1200</t>
        </is>
      </c>
      <c r="I1192" s="3" t="inlineStr"/>
      <c r="J1192" s="4" t="inlineStr">
        <is>
          <t>1201–1400</t>
        </is>
      </c>
      <c r="K1192" s="4" t="inlineStr">
        <is>
          <t>1001–1200</t>
        </is>
      </c>
      <c r="L1192" s="4" t="inlineStr">
        <is>
          <t>5405</t>
        </is>
      </c>
      <c r="M1192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92" s="4" t="inlineStr">
        <is>
          <t>32</t>
        </is>
      </c>
      <c r="O119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P1192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93">
      <c r="A1193" s="3" t="inlineStr">
        <is>
          <t>Uzbekistan|Tashkent State University of Economics</t>
        </is>
      </c>
      <c r="B1193" s="3" t="inlineStr">
        <is>
          <t>Uzbekistan</t>
        </is>
      </c>
      <c r="C1193" s="3" t="inlineStr">
        <is>
          <t>Ташкент</t>
        </is>
      </c>
      <c r="D1193" s="3" t="inlineStr">
        <is>
          <t>Tashkent State University of Economics</t>
        </is>
      </c>
      <c r="E1193" s="3" t="inlineStr">
        <is>
          <t>Toshkent davlat iqtisodiyot universiteti</t>
        </is>
      </c>
      <c r="F1193" s="3" t="inlineStr">
        <is>
          <t>https://tsue.uz</t>
        </is>
      </c>
      <c r="G1193" s="3" t="inlineStr">
        <is>
          <t>QS2027: 1201–1400</t>
        </is>
      </c>
      <c r="H1193" s="3" t="inlineStr">
        <is>
          <t>THE2027: 651–700</t>
        </is>
      </c>
      <c r="I1193" s="3" t="inlineStr"/>
      <c r="J1193" s="4" t="inlineStr">
        <is>
          <t>1201–1400</t>
        </is>
      </c>
      <c r="K1193" s="4" t="inlineStr">
        <is>
          <t>651–700</t>
        </is>
      </c>
      <c r="L1193" s="4" t="inlineStr">
        <is>
          <t>2570</t>
        </is>
      </c>
      <c r="M1193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93" s="4" t="inlineStr">
        <is>
          <t>9</t>
        </is>
      </c>
      <c r="O1193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P1193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94">
      <c r="A1194" s="3" t="inlineStr">
        <is>
          <t>Uzbekistan|Tashkent University of Information Technologies named after Muhammad al-Khwarizmi</t>
        </is>
      </c>
      <c r="B1194" s="3" t="inlineStr">
        <is>
          <t>Uzbekistan</t>
        </is>
      </c>
      <c r="C1194" s="3" t="inlineStr">
        <is>
          <t>Ташкент</t>
        </is>
      </c>
      <c r="D1194" s="3" t="inlineStr">
        <is>
          <t>Tashkent University of Information Technologies named after Muhammad al-Khwarizmi</t>
        </is>
      </c>
      <c r="E1194" s="3" t="inlineStr">
        <is>
          <t>Muhammad al-Xorazmiy nomidagi Toshkent axborot texnologiyalari universiteti</t>
        </is>
      </c>
      <c r="F1194" s="3" t="inlineStr">
        <is>
          <t>https://tuit.uz</t>
        </is>
      </c>
      <c r="G1194" s="3" t="inlineStr"/>
      <c r="H1194" s="3" t="inlineStr">
        <is>
          <t>THE2027: 1201–1400</t>
        </is>
      </c>
      <c r="I1194" s="3" t="inlineStr"/>
      <c r="J1194" s="4" t="inlineStr">
        <is>
          <t>не в рейтинге</t>
        </is>
      </c>
      <c r="K1194" s="4" t="inlineStr">
        <is>
          <t>1201–1400</t>
        </is>
      </c>
      <c r="L1194" s="4" t="inlineStr">
        <is>
          <t>4207</t>
        </is>
      </c>
      <c r="M1194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94" s="4" t="inlineStr">
        <is>
          <t>13</t>
        </is>
      </c>
      <c r="O1194" s="4" t="inlineStr">
        <is>
          <t>https://www.timeshighereducation.com/world-university-rankings/2027/world-ranking
https://figshare.com/articles/preprint/Ranking_Web_of_Universities_webometrics_info_July_2026_edition/33062150
https://devedu.uz/2314/</t>
        </is>
      </c>
      <c r="P1194" s="4" t="inlineStr">
        <is>
          <t>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ноября.</t>
        </is>
      </c>
    </row>
    <row r="1195">
      <c r="A1195" s="3" t="inlineStr">
        <is>
          <t>Uzbekistan|Turin Polytechnic University in Tashkent</t>
        </is>
      </c>
      <c r="B1195" s="3" t="inlineStr">
        <is>
          <t>Uzbekistan</t>
        </is>
      </c>
      <c r="C1195" s="3" t="inlineStr">
        <is>
          <t>Ташкент</t>
        </is>
      </c>
      <c r="D1195" s="3" t="inlineStr">
        <is>
          <t>Turin Polytechnic University in Tashkent</t>
        </is>
      </c>
      <c r="E1195" s="3" t="inlineStr">
        <is>
          <t>Toshkentdagi Turin politexnika universiteti</t>
        </is>
      </c>
      <c r="F1195" s="3" t="inlineStr">
        <is>
          <t>https://turin.uz</t>
        </is>
      </c>
      <c r="G1195" s="3" t="inlineStr"/>
      <c r="H1195" s="3" t="inlineStr"/>
      <c r="I1195" s="3" t="inlineStr"/>
      <c r="J1195" s="4" t="inlineStr">
        <is>
          <t>не в рейтинге</t>
        </is>
      </c>
      <c r="K1195" s="4" t="inlineStr">
        <is>
          <t>не в рейтинге</t>
        </is>
      </c>
      <c r="L1195" s="4" t="inlineStr">
        <is>
          <t>нет в опубл. списке (опубликован только топ-15 страны)</t>
        </is>
      </c>
      <c r="M1195" s="4" t="inlineStr">
        <is>
          <t>Общий (национальный) рейтинг ОВО Министерства высшего образования, науки и инноваций РУз, 2023 (итоги 2022)</t>
        </is>
      </c>
      <c r="N1195" s="4" t="inlineStr">
        <is>
          <t>не в рейтинге</t>
        </is>
      </c>
      <c r="O1195" s="4" t="inlineStr">
        <is>
          <t>https://devedu.uz/2314/</t>
        </is>
      </c>
      <c r="P1195" s="4" t="inlineStr">
        <is>
          <t>Отсутствует в полной таблице (76 мест); рейтинг охватывал государственные ОВО — негосударственные вузы и филиалы иностранных вузов в него не входили.</t>
        </is>
      </c>
    </row>
    <row r="1196">
      <c r="A1196" s="3" t="inlineStr">
        <is>
          <t>Vietnam|Can Tho University</t>
        </is>
      </c>
      <c r="B1196" s="3" t="inlineStr">
        <is>
          <t>Vietnam</t>
        </is>
      </c>
      <c r="C1196" s="3" t="inlineStr">
        <is>
          <t>Кантхо</t>
        </is>
      </c>
      <c r="D1196" s="3" t="inlineStr">
        <is>
          <t>Can Tho University</t>
        </is>
      </c>
      <c r="E1196" s="3" t="inlineStr">
        <is>
          <t>Đại học Cần Thơ</t>
        </is>
      </c>
      <c r="F1196" s="3" t="inlineStr">
        <is>
          <t>https://www.ctu.edu.vn</t>
        </is>
      </c>
      <c r="G1196" s="3" t="inlineStr">
        <is>
          <t>QS2027: 1401+</t>
        </is>
      </c>
      <c r="H1196" s="3" t="inlineStr">
        <is>
          <t>THE2027: 2001+</t>
        </is>
      </c>
      <c r="I1196" s="3" t="inlineStr"/>
      <c r="J1196" s="4" t="inlineStr">
        <is>
          <t>1401+</t>
        </is>
      </c>
      <c r="K1196" s="4" t="inlineStr">
        <is>
          <t>2001+</t>
        </is>
      </c>
      <c r="L1196" s="4" t="inlineStr">
        <is>
          <t>1937</t>
        </is>
      </c>
      <c r="M1196" s="4" t="inlineStr">
        <is>
          <t>VNUR — Bảng xếp hạng Top 100 trường đại học Việt Nam, 2026</t>
        </is>
      </c>
      <c r="N1196" s="4" t="inlineStr">
        <is>
          <t>8</t>
        </is>
      </c>
      <c r="O1196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P1196" s="4" t="inlineStr">
        <is>
          <t>Место в VNUR-2026 (Top 100; независимый национальный рейтинг вузов Вьетнама, не государственный).</t>
        </is>
      </c>
    </row>
    <row r="1197">
      <c r="A1197" s="3" t="inlineStr">
        <is>
          <t>Vietnam|Dalat University</t>
        </is>
      </c>
      <c r="B1197" s="3" t="inlineStr">
        <is>
          <t>Vietnam</t>
        </is>
      </c>
      <c r="C1197" s="3" t="inlineStr">
        <is>
          <t>Далат</t>
        </is>
      </c>
      <c r="D1197" s="3" t="inlineStr">
        <is>
          <t>Dalat University</t>
        </is>
      </c>
      <c r="E1197" s="3" t="inlineStr">
        <is>
          <t>Trường Đại học Đà Lạt</t>
        </is>
      </c>
      <c r="F1197" s="3" t="inlineStr">
        <is>
          <t>https://dlu.edu.vn</t>
        </is>
      </c>
      <c r="G1197" s="3" t="inlineStr"/>
      <c r="H1197" s="3" t="inlineStr"/>
      <c r="I1197" s="3" t="inlineStr"/>
      <c r="J1197" s="4" t="inlineStr">
        <is>
          <t>не в рейтинге</t>
        </is>
      </c>
      <c r="K1197" s="4" t="inlineStr">
        <is>
          <t>не в рейтинге</t>
        </is>
      </c>
      <c r="L1197" s="4" t="inlineStr">
        <is>
          <t>нет в опубл. списке (опубликован только топ-15 страны)</t>
        </is>
      </c>
      <c r="M1197" s="4" t="inlineStr">
        <is>
          <t>VNUR — Bảng xếp hạng Top 100 trường đại học Việt Nam, 2026</t>
        </is>
      </c>
      <c r="N1197" s="4" t="inlineStr">
        <is>
          <t>67</t>
        </is>
      </c>
      <c r="O1197" s="4" t="inlineStr">
        <is>
          <t>https://vnur.vn/bang-xep-hang-top-100-truong-dai-hoc-viet-nam-nam-2026</t>
        </is>
      </c>
      <c r="P1197" s="4" t="inlineStr">
        <is>
          <t>Место в VNUR-2026 (Top 100; независимый национальный рейтинг вузов Вьетнама, не государственный).</t>
        </is>
      </c>
    </row>
    <row r="1198">
      <c r="A1198" s="3" t="inlineStr">
        <is>
          <t>Vietnam|Duy Tan University</t>
        </is>
      </c>
      <c r="B1198" s="3" t="inlineStr">
        <is>
          <t>Vietnam</t>
        </is>
      </c>
      <c r="C1198" s="3" t="inlineStr">
        <is>
          <t>Дананг</t>
        </is>
      </c>
      <c r="D1198" s="3" t="inlineStr">
        <is>
          <t>Duy Tan University</t>
        </is>
      </c>
      <c r="E1198" s="3" t="inlineStr">
        <is>
          <t>Trường Đại học Duy Tân</t>
        </is>
      </c>
      <c r="F1198" s="3" t="inlineStr">
        <is>
          <t>https://duytan.edu.vn</t>
        </is>
      </c>
      <c r="G1198" s="3" t="inlineStr">
        <is>
          <t>QS2027: 504</t>
        </is>
      </c>
      <c r="H1198" s="3" t="inlineStr">
        <is>
          <t>THE2027: 701–800</t>
        </is>
      </c>
      <c r="I1198" s="3" t="inlineStr"/>
      <c r="J1198" s="4">
        <f>504</f>
        <v/>
      </c>
      <c r="K1198" s="4" t="inlineStr">
        <is>
          <t>701–800</t>
        </is>
      </c>
      <c r="L1198" s="4" t="inlineStr">
        <is>
          <t>нет в опубл. списке (опубликован только топ-15 страны)</t>
        </is>
      </c>
      <c r="M1198" s="4" t="inlineStr">
        <is>
          <t>VNUR — Bảng xếp hạng Top 100 trường đại học Việt Nam, 2026</t>
        </is>
      </c>
      <c r="N1198" s="4" t="inlineStr">
        <is>
          <t>7</t>
        </is>
      </c>
      <c r="O1198" s="4" t="inlineStr">
        <is>
          <t>https://www.topuniversities.com/world-university-rankings (QS WUR 2027)
https://www.timeshighereducation.com/world-university-rankings/2027/world-ranking
https://vnur.vn/bang-xep-hang-top-100-truong-dai-hoc-viet-nam-nam-2026</t>
        </is>
      </c>
      <c r="P1198" s="4" t="inlineStr">
        <is>
          <t>Место в VNUR-2026 (Top 100; независимый национальный рейтинг вузов Вьетнама, не государственный).</t>
        </is>
      </c>
    </row>
    <row r="1199">
      <c r="A1199" s="3" t="inlineStr">
        <is>
          <t>Vietnam|FPT University</t>
        </is>
      </c>
      <c r="B1199" s="3" t="inlineStr">
        <is>
          <t>Vietnam</t>
        </is>
      </c>
      <c r="C1199" s="3" t="inlineStr">
        <is>
          <t>Ханой</t>
        </is>
      </c>
      <c r="D1199" s="3" t="inlineStr">
        <is>
          <t>FPT University</t>
        </is>
      </c>
      <c r="E1199" s="3" t="inlineStr">
        <is>
          <t>Trường Đại học FPT</t>
        </is>
      </c>
      <c r="F1199" s="3" t="inlineStr">
        <is>
          <t>https://daihoc.fpt.edu.vn</t>
        </is>
      </c>
      <c r="G1199" s="3" t="inlineStr"/>
      <c r="H1199" s="3" t="inlineStr"/>
      <c r="I1199" s="3" t="inlineStr"/>
      <c r="J1199" s="4" t="inlineStr">
        <is>
          <t>не в рейтинге</t>
        </is>
      </c>
      <c r="K1199" s="4" t="inlineStr">
        <is>
          <t>не в рейтинге</t>
        </is>
      </c>
      <c r="L1199" s="4" t="inlineStr">
        <is>
          <t>2237</t>
        </is>
      </c>
      <c r="M1199" s="4" t="inlineStr">
        <is>
          <t>VNUR — Bảng xếp hạng Top 100 trường đại học Việt Nam, 2026</t>
        </is>
      </c>
      <c r="N1199" s="4" t="inlineStr">
        <is>
          <t>81</t>
        </is>
      </c>
      <c r="O1199" s="4" t="inlineStr">
        <is>
          <t>https://figshare.com/articles/preprint/Ranking_Web_of_Universities_webometrics_info_July_2026_edition/33062150
https://vnur.vn/bang-xep-hang-top-100-truong-dai-hoc-viet-nam-nam-2026</t>
        </is>
      </c>
      <c r="P1199" s="4" t="inlineStr">
        <is>
          <t>Место в VNUR-2026 (Top 100; независимый национальный рейтинг вузов Вьетнама, не государственный).</t>
        </is>
      </c>
    </row>
    <row r="1200">
      <c r="A1200" s="3" t="inlineStr">
        <is>
          <t>Vietnam|Foreign Trade University</t>
        </is>
      </c>
      <c r="B1200" s="3" t="inlineStr">
        <is>
          <t>Vietnam</t>
        </is>
      </c>
      <c r="C1200" s="3" t="inlineStr">
        <is>
          <t>Ханой</t>
        </is>
      </c>
      <c r="D1200" s="3" t="inlineStr">
        <is>
          <t>Foreign Trade University</t>
        </is>
      </c>
      <c r="E1200" s="3" t="inlineStr">
        <is>
          <t>Trường Đại học Ngoại thương</t>
        </is>
      </c>
      <c r="F1200" s="3" t="inlineStr">
        <is>
          <t>https://ftu.edu.vn</t>
        </is>
      </c>
      <c r="G1200" s="3" t="inlineStr"/>
      <c r="H1200" s="3" t="inlineStr"/>
      <c r="I1200" s="3" t="inlineStr"/>
      <c r="J1200" s="4" t="inlineStr">
        <is>
          <t>не в рейтинге</t>
        </is>
      </c>
      <c r="K1200" s="4" t="inlineStr">
        <is>
          <t>не в рейтинге</t>
        </is>
      </c>
      <c r="L1200" s="4" t="inlineStr">
        <is>
          <t>нет в опубл. списке (опубликован только топ-15 страны)</t>
        </is>
      </c>
      <c r="M1200" s="4" t="inlineStr">
        <is>
          <t>VNUR — Bảng xếp hạng Top 100 trường đại học Việt Nam, 2026</t>
        </is>
      </c>
      <c r="N1200" s="4" t="inlineStr">
        <is>
          <t>22</t>
        </is>
      </c>
      <c r="O1200" s="4" t="inlineStr">
        <is>
          <t>https://vnur.vn/bang-xep-hang-top-100-truong-dai-hoc-viet-nam-nam-2026</t>
        </is>
      </c>
      <c r="P1200" s="4" t="inlineStr">
        <is>
          <t>Место в VNUR-2026 (Top 100; независимый национальный рейтинг вузов Вьетнама, не государственный).</t>
        </is>
      </c>
    </row>
    <row r="1201">
      <c r="A1201" s="3" t="inlineStr">
        <is>
          <t>Vietnam|Hanoi Medical University</t>
        </is>
      </c>
      <c r="B1201" s="3" t="inlineStr">
        <is>
          <t>Vietnam</t>
        </is>
      </c>
      <c r="C1201" s="3" t="inlineStr">
        <is>
          <t>Ханой</t>
        </is>
      </c>
      <c r="D1201" s="3" t="inlineStr">
        <is>
          <t>Hanoi Medical University</t>
        </is>
      </c>
      <c r="E1201" s="3" t="inlineStr">
        <is>
          <t>Trường Đại học Y Hà Nội</t>
        </is>
      </c>
      <c r="F1201" s="3" t="inlineStr">
        <is>
          <t>https://hmu.edu.vn</t>
        </is>
      </c>
      <c r="G1201" s="3" t="inlineStr"/>
      <c r="H1201" s="3" t="inlineStr">
        <is>
          <t>THE2027: 801–1000</t>
        </is>
      </c>
      <c r="I1201" s="3" t="inlineStr"/>
      <c r="J1201" s="4" t="inlineStr">
        <is>
          <t>не в рейтинге</t>
        </is>
      </c>
      <c r="K1201" s="4" t="inlineStr">
        <is>
          <t>801–1000</t>
        </is>
      </c>
      <c r="L1201" s="4" t="inlineStr">
        <is>
          <t>нет в опубл. списке (опубликован только топ-15 страны)</t>
        </is>
      </c>
      <c r="M1201" s="4" t="inlineStr">
        <is>
          <t>VNUR — Bảng xếp hạng Top 100 trường đại học Việt Nam, 2026</t>
        </is>
      </c>
      <c r="N1201" s="4" t="inlineStr">
        <is>
          <t>45</t>
        </is>
      </c>
      <c r="O1201" s="4" t="inlineStr">
        <is>
          <t>https://www.timeshighereducation.com/world-university-rankings/2027/world-ranking
https://vnur.vn/bang-xep-hang-top-100-truong-dai-hoc-viet-nam-nam-2026</t>
        </is>
      </c>
      <c r="P1201" s="4" t="inlineStr">
        <is>
          <t>Место в VNUR-2026 (Top 100; независимый национальный рейтинг вузов Вьетнама, не государственный).</t>
        </is>
      </c>
    </row>
    <row r="1202">
      <c r="A1202" s="3" t="inlineStr">
        <is>
          <t>Vietnam|Hanoi National University of Education</t>
        </is>
      </c>
      <c r="B1202" s="3" t="inlineStr">
        <is>
          <t>Vietnam</t>
        </is>
      </c>
      <c r="C1202" s="3" t="inlineStr">
        <is>
          <t>Ханой</t>
        </is>
      </c>
      <c r="D1202" s="3" t="inlineStr">
        <is>
          <t>Hanoi National University of Education</t>
        </is>
      </c>
      <c r="E1202" s="3" t="inlineStr">
        <is>
          <t>Trường Đại học Sư phạm Hà Nội</t>
        </is>
      </c>
      <c r="F1202" s="3" t="inlineStr">
        <is>
          <t>https://hnue.edu.vn</t>
        </is>
      </c>
      <c r="G1202" s="3" t="inlineStr"/>
      <c r="H1202" s="3" t="inlineStr"/>
      <c r="I1202" s="3" t="inlineStr"/>
      <c r="J1202" s="4" t="inlineStr">
        <is>
          <t>не в рейтинге</t>
        </is>
      </c>
      <c r="K1202" s="4" t="inlineStr">
        <is>
          <t>не в рейтинге</t>
        </is>
      </c>
      <c r="L1202" s="4" t="inlineStr">
        <is>
          <t>нет в опубл. списке (опубликован только топ-15 страны)</t>
        </is>
      </c>
      <c r="M1202" s="4" t="inlineStr">
        <is>
          <t>VNUR — Bảng xếp hạng Top 100 trường đại học Việt Nam, 2026</t>
        </is>
      </c>
      <c r="N1202" s="4" t="inlineStr">
        <is>
          <t>13</t>
        </is>
      </c>
      <c r="O1202" s="4" t="inlineStr">
        <is>
          <t>https://vnur.vn/bang-xep-hang-top-100-truong-dai-hoc-viet-nam-nam-2026</t>
        </is>
      </c>
      <c r="P1202" s="4" t="inlineStr">
        <is>
          <t>Место в VNUR-2026 (Top 100; независимый национальный рейтинг вузов Вьетнама, не государственный).</t>
        </is>
      </c>
    </row>
    <row r="1203">
      <c r="A1203" s="3" t="inlineStr">
        <is>
          <t>Vietnam|Hanoi University of Civil Engineering</t>
        </is>
      </c>
      <c r="B1203" s="3" t="inlineStr">
        <is>
          <t>Vietnam</t>
        </is>
      </c>
      <c r="C1203" s="3" t="inlineStr">
        <is>
          <t>Ханой</t>
        </is>
      </c>
      <c r="D1203" s="3" t="inlineStr">
        <is>
          <t>Hanoi University of Civil Engineering</t>
        </is>
      </c>
      <c r="E1203" s="3" t="inlineStr">
        <is>
          <t>Trường Đại học Xây dựng Hà Nội</t>
        </is>
      </c>
      <c r="F1203" s="3" t="inlineStr">
        <is>
          <t>https://huce.edu.vn</t>
        </is>
      </c>
      <c r="G1203" s="3" t="inlineStr"/>
      <c r="H1203" s="3" t="inlineStr"/>
      <c r="I1203" s="3" t="inlineStr"/>
      <c r="J1203" s="4" t="inlineStr">
        <is>
          <t>не в рейтинге</t>
        </is>
      </c>
      <c r="K1203" s="4" t="inlineStr">
        <is>
          <t>не в рейтинге</t>
        </is>
      </c>
      <c r="L1203" s="4" t="inlineStr">
        <is>
          <t>нет в опубл. списке (опубликован только топ-15 страны)</t>
        </is>
      </c>
      <c r="M1203" s="4" t="inlineStr">
        <is>
          <t>VNUR — Bảng xếp hạng Top 100 trường đại học Việt Nam, 2026</t>
        </is>
      </c>
      <c r="N1203" s="4" t="inlineStr">
        <is>
          <t>30</t>
        </is>
      </c>
      <c r="O1203" s="4" t="inlineStr">
        <is>
          <t>https://vnur.vn/bang-xep-hang-top-100-truong-dai-hoc-viet-nam-nam-2026</t>
        </is>
      </c>
      <c r="P1203" s="4" t="inlineStr">
        <is>
          <t>Место в VNUR-2026 (Top 100; независимый национальный рейтинг вузов Вьетнама, не государственный).</t>
        </is>
      </c>
    </row>
    <row r="1204">
      <c r="A1204" s="3" t="inlineStr">
        <is>
          <t>Vietnam|Hanoi University of Industry</t>
        </is>
      </c>
      <c r="B1204" s="3" t="inlineStr">
        <is>
          <t>Vietnam</t>
        </is>
      </c>
      <c r="C1204" s="3" t="inlineStr">
        <is>
          <t>Ханой</t>
        </is>
      </c>
      <c r="D1204" s="3" t="inlineStr">
        <is>
          <t>Hanoi University of Industry</t>
        </is>
      </c>
      <c r="E1204" s="3" t="inlineStr">
        <is>
          <t>Đại học Công nghiệp Hà Nội</t>
        </is>
      </c>
      <c r="F1204" s="3" t="inlineStr">
        <is>
          <t>https://haui.edu.vn</t>
        </is>
      </c>
      <c r="G1204" s="3" t="inlineStr"/>
      <c r="H1204" s="3" t="inlineStr"/>
      <c r="I1204" s="3" t="inlineStr"/>
      <c r="J1204" s="4" t="inlineStr">
        <is>
          <t>не в рейтинге</t>
        </is>
      </c>
      <c r="K1204" s="4" t="inlineStr">
        <is>
          <t>не в рейтинге</t>
        </is>
      </c>
      <c r="L1204" s="4" t="inlineStr">
        <is>
          <t>нет в опубл. списке (опубликован только топ-15 страны)</t>
        </is>
      </c>
      <c r="M1204" s="4" t="inlineStr">
        <is>
          <t>VNUR — Bảng xếp hạng Top 100 trường đại học Việt Nam, 2026</t>
        </is>
      </c>
      <c r="N1204" s="4" t="inlineStr">
        <is>
          <t>18</t>
        </is>
      </c>
      <c r="O1204" s="4" t="inlineStr">
        <is>
          <t>https://vnur.vn/bang-xep-hang-top-100-truong-dai-hoc-viet-nam-nam-2026</t>
        </is>
      </c>
      <c r="P1204" s="4" t="inlineStr">
        <is>
          <t>Место в VNUR-2026 (Top 100; независимый национальный рейтинг вузов Вьетнама, не государственный).</t>
        </is>
      </c>
    </row>
    <row r="1205">
      <c r="A1205" s="3" t="inlineStr">
        <is>
          <t>Vietnam|Hanoi University of Mining and Geology</t>
        </is>
      </c>
      <c r="B1205" s="3" t="inlineStr">
        <is>
          <t>Vietnam</t>
        </is>
      </c>
      <c r="C1205" s="3" t="inlineStr">
        <is>
          <t>Ханой</t>
        </is>
      </c>
      <c r="D1205" s="3" t="inlineStr">
        <is>
          <t>Hanoi University of Mining and Geology</t>
        </is>
      </c>
      <c r="E1205" s="3" t="inlineStr">
        <is>
          <t>Trường Đại học Mỏ - Địa chất</t>
        </is>
      </c>
      <c r="F1205" s="3" t="inlineStr">
        <is>
          <t>https://humg.edu.vn</t>
        </is>
      </c>
      <c r="G1205" s="3" t="inlineStr"/>
      <c r="H1205" s="3" t="inlineStr"/>
      <c r="I1205" s="3" t="inlineStr"/>
      <c r="J1205" s="4" t="inlineStr">
        <is>
          <t>не в рейтинге</t>
        </is>
      </c>
      <c r="K1205" s="4" t="inlineStr">
        <is>
          <t>не в рейтинге</t>
        </is>
      </c>
      <c r="L1205" s="4" t="inlineStr">
        <is>
          <t>нет в опубл. списке (опубликован только топ-15 страны)</t>
        </is>
      </c>
      <c r="M1205" s="4" t="inlineStr">
        <is>
          <t>VNUR — Bảng xếp hạng Top 100 trường đại học Việt Nam, 2026</t>
        </is>
      </c>
      <c r="N1205" s="4" t="inlineStr">
        <is>
          <t>27</t>
        </is>
      </c>
      <c r="O1205" s="4" t="inlineStr">
        <is>
          <t>https://vnur.vn/bang-xep-hang-top-100-truong-dai-hoc-viet-nam-nam-2026</t>
        </is>
      </c>
      <c r="P1205" s="4" t="inlineStr">
        <is>
          <t>Место в VNUR-2026 (Top 100; независимый национальный рейтинг вузов Вьетнама, не государственный).</t>
        </is>
      </c>
    </row>
    <row r="1206">
      <c r="A1206" s="3" t="inlineStr">
        <is>
          <t>Vietnam|Hanoi University of Natural Resources and Environment</t>
        </is>
      </c>
      <c r="B1206" s="3" t="inlineStr">
        <is>
          <t>Vietnam</t>
        </is>
      </c>
      <c r="C1206" s="3" t="inlineStr">
        <is>
          <t>Ханой</t>
        </is>
      </c>
      <c r="D1206" s="3" t="inlineStr">
        <is>
          <t>Hanoi University of Natural Resources and Environment</t>
        </is>
      </c>
      <c r="E1206" s="3" t="inlineStr">
        <is>
          <t>Trường Đại học Tài nguyên và Môi trường Hà Nội</t>
        </is>
      </c>
      <c r="F1206" s="3" t="inlineStr">
        <is>
          <t>https://hunre.edu.vn</t>
        </is>
      </c>
      <c r="G1206" s="3" t="inlineStr"/>
      <c r="H1206" s="3" t="inlineStr"/>
      <c r="I1206" s="3" t="inlineStr"/>
      <c r="J1206" s="4" t="inlineStr">
        <is>
          <t>не в рейтинге</t>
        </is>
      </c>
      <c r="K1206" s="4" t="inlineStr">
        <is>
          <t>не в рейтинге</t>
        </is>
      </c>
      <c r="L1206" s="4" t="inlineStr">
        <is>
          <t>нет в опубл. списке (опубликован только топ-15 страны)</t>
        </is>
      </c>
      <c r="M1206" s="4" t="inlineStr">
        <is>
          <t>VNUR — Bảng xếp hạng Top 100 trường đại học Việt Nam, 2026</t>
        </is>
      </c>
      <c r="N1206" s="4" t="inlineStr">
        <is>
          <t>77</t>
        </is>
      </c>
      <c r="O1206" s="4" t="inlineStr">
        <is>
          <t>https://vnur.vn/bang-xep-hang-top-100-truong-dai-hoc-viet-nam-nam-2026</t>
        </is>
      </c>
      <c r="P1206" s="4" t="inlineStr">
        <is>
          <t>Место в VNUR-2026 (Top 100; независимый национальный рейтинг вузов Вьетнама, не государственный).</t>
        </is>
      </c>
    </row>
    <row r="1207">
      <c r="A1207" s="3" t="inlineStr">
        <is>
          <t>Vietnam|Ho Chi Minh City Open University</t>
        </is>
      </c>
      <c r="B1207" s="3" t="inlineStr">
        <is>
          <t>Vietnam</t>
        </is>
      </c>
      <c r="C1207" s="3" t="inlineStr">
        <is>
          <t>Хошимин</t>
        </is>
      </c>
      <c r="D1207" s="3" t="inlineStr">
        <is>
          <t>Ho Chi Minh City Open University</t>
        </is>
      </c>
      <c r="E1207" s="3" t="inlineStr">
        <is>
          <t>Trường Đại học Mở Thành phố Hồ Chí Minh</t>
        </is>
      </c>
      <c r="F1207" s="3" t="inlineStr">
        <is>
          <t>https://ou.edu.vn</t>
        </is>
      </c>
      <c r="G1207" s="3" t="inlineStr"/>
      <c r="H1207" s="3" t="inlineStr">
        <is>
          <t>THE2027: 1401–1600</t>
        </is>
      </c>
      <c r="I1207" s="3" t="inlineStr"/>
      <c r="J1207" s="4" t="inlineStr">
        <is>
          <t>не в рейтинге</t>
        </is>
      </c>
      <c r="K1207" s="4" t="inlineStr">
        <is>
          <t>1401–1600</t>
        </is>
      </c>
      <c r="L1207" s="4" t="inlineStr">
        <is>
          <t>нет в опубл. списке (опубликован только топ-15 страны)</t>
        </is>
      </c>
      <c r="M1207" s="4" t="inlineStr">
        <is>
          <t>VNUR — Bảng xếp hạng Top 100 trường đại học Việt Nam, 2026</t>
        </is>
      </c>
      <c r="N1207" s="4" t="inlineStr">
        <is>
          <t>31</t>
        </is>
      </c>
      <c r="O1207" s="4" t="inlineStr">
        <is>
          <t>https://www.timeshighereducation.com/world-university-rankings/2027/world-ranking
https://vnur.vn/bang-xep-hang-top-100-truong-dai-hoc-viet-nam-nam-2026</t>
        </is>
      </c>
      <c r="P1207" s="4" t="inlineStr">
        <is>
          <t>Место в VNUR-2026 (Top 100; независимый национальный рейтинг вузов Вьетнама, не государственный).</t>
        </is>
      </c>
    </row>
    <row r="1208">
      <c r="A1208" s="3" t="inlineStr">
        <is>
          <t>Vietnam|Ho Chi Minh City University of Industry and Trade</t>
        </is>
      </c>
      <c r="B1208" s="3" t="inlineStr">
        <is>
          <t>Vietnam</t>
        </is>
      </c>
      <c r="C1208" s="3" t="inlineStr">
        <is>
          <t>Хошимин</t>
        </is>
      </c>
      <c r="D1208" s="3" t="inlineStr">
        <is>
          <t>Ho Chi Minh City University of Industry and Trade</t>
        </is>
      </c>
      <c r="E1208" s="3" t="inlineStr">
        <is>
          <t>Trường Đại học Công Thương Thành phố Hồ Chí Minh</t>
        </is>
      </c>
      <c r="F1208" s="3" t="inlineStr">
        <is>
          <t>https://huit.edu.vn</t>
        </is>
      </c>
      <c r="G1208" s="3" t="inlineStr"/>
      <c r="H1208" s="3" t="inlineStr"/>
      <c r="I1208" s="3" t="inlineStr"/>
      <c r="J1208" s="4" t="inlineStr">
        <is>
          <t>не в рейтинге</t>
        </is>
      </c>
      <c r="K1208" s="4" t="inlineStr">
        <is>
          <t>не в рейтинге</t>
        </is>
      </c>
      <c r="L1208" s="4" t="inlineStr">
        <is>
          <t>нет в опубл. списке (опубликован только топ-15 страны)</t>
        </is>
      </c>
      <c r="M1208" s="4" t="inlineStr">
        <is>
          <t>VNUR — Bảng xếp hạng Top 100 trường đại học Việt Nam, 2026</t>
        </is>
      </c>
      <c r="N1208" s="4" t="inlineStr">
        <is>
          <t>78</t>
        </is>
      </c>
      <c r="O1208" s="4" t="inlineStr">
        <is>
          <t>https://vnur.vn/bang-xep-hang-top-100-truong-dai-hoc-viet-nam-nam-2026</t>
        </is>
      </c>
      <c r="P1208" s="4" t="inlineStr">
        <is>
          <t>Место в VNUR-2026 (Top 100; независимый национальный рейтинг вузов Вьетнама, не государственный).</t>
        </is>
      </c>
    </row>
    <row r="1209">
      <c r="A1209" s="3" t="inlineStr">
        <is>
          <t>Vietnam|Ho Chi Minh City University of Technology and Engineering (formerly University of Technology and Education)</t>
        </is>
      </c>
      <c r="B1209" s="3" t="inlineStr">
        <is>
          <t>Vietnam</t>
        </is>
      </c>
      <c r="C1209" s="3" t="inlineStr">
        <is>
          <t>Хошимин</t>
        </is>
      </c>
      <c r="D1209" s="3" t="inlineStr">
        <is>
          <t>Ho Chi Minh City University of Technology and Engineering (formerly University of Technology and Education)</t>
        </is>
      </c>
      <c r="E1209" s="3" t="inlineStr">
        <is>
          <t>Trường Đại học Công nghệ Kỹ thuật Thành phố Hồ Chí Minh</t>
        </is>
      </c>
      <c r="F1209" s="3" t="inlineStr">
        <is>
          <t>https://hcmute.edu.vn</t>
        </is>
      </c>
      <c r="G1209" s="3" t="inlineStr"/>
      <c r="H1209" s="3" t="inlineStr"/>
      <c r="I1209" s="3" t="inlineStr"/>
      <c r="J1209" s="4" t="inlineStr">
        <is>
          <t>не в рейтинге</t>
        </is>
      </c>
      <c r="K1209" s="4" t="inlineStr">
        <is>
          <t>не в рейтинге</t>
        </is>
      </c>
      <c r="L1209" s="4" t="inlineStr">
        <is>
          <t>нет в опубл. списке (опубликован только топ-15 страны)</t>
        </is>
      </c>
      <c r="M1209" s="4" t="inlineStr">
        <is>
          <t>VNUR — Bảng xếp hạng Top 100 trường đại học Việt Nam, 2026</t>
        </is>
      </c>
      <c r="N1209" s="4" t="inlineStr">
        <is>
          <t>38</t>
        </is>
      </c>
      <c r="O1209" s="4" t="inlineStr">
        <is>
          <t>https://vnur.vn/bang-xep-hang-top-100-truong-dai-hoc-viet-nam-nam-2026</t>
        </is>
      </c>
      <c r="P1209" s="4" t="inlineStr">
        <is>
          <t>Место в VNUR-2026 (Top 100; независимый национальный рейтинг вузов Вьетнама, не государственный). В таблице под прежним названием (ĐH Sư phạm Kỹ thuật TP.HCM).</t>
        </is>
      </c>
    </row>
    <row r="1210">
      <c r="A1210" s="3" t="inlineStr">
        <is>
          <t>Vietnam|Hue University</t>
        </is>
      </c>
      <c r="B1210" s="3" t="inlineStr">
        <is>
          <t>Vietnam</t>
        </is>
      </c>
      <c r="C1210" s="3" t="inlineStr">
        <is>
          <t>Хюэ</t>
        </is>
      </c>
      <c r="D1210" s="3" t="inlineStr">
        <is>
          <t>Hue University</t>
        </is>
      </c>
      <c r="E1210" s="3" t="inlineStr">
        <is>
          <t>Đại học Huế</t>
        </is>
      </c>
      <c r="F1210" s="3" t="inlineStr">
        <is>
          <t>https://hueuni.edu.vn</t>
        </is>
      </c>
      <c r="G1210" s="3" t="inlineStr"/>
      <c r="H1210" s="3" t="inlineStr">
        <is>
          <t>THE2027: 2001+</t>
        </is>
      </c>
      <c r="I1210" s="3" t="inlineStr"/>
      <c r="J1210" s="4" t="inlineStr">
        <is>
          <t>не в рейтинге</t>
        </is>
      </c>
      <c r="K1210" s="4" t="inlineStr">
        <is>
          <t>2001+</t>
        </is>
      </c>
      <c r="L1210" s="4" t="inlineStr">
        <is>
          <t>нет в опубл. списке (опубликован только топ-15 страны)</t>
        </is>
      </c>
      <c r="M1210" s="4" t="inlineStr">
        <is>
          <t>VNUR — Bảng xếp hạng Top 100 trường đại học Việt Nam, 2026</t>
        </is>
      </c>
      <c r="N1210" s="4" t="inlineStr">
        <is>
          <t>14</t>
        </is>
      </c>
      <c r="O1210" s="4" t="inlineStr">
        <is>
          <t>https://www.timeshighereducation.com/world-university-rankings/2027/world-ranking
https://vnur.vn/bang-xep-hang-top-100-truong-dai-hoc-viet-nam-nam-2026</t>
        </is>
      </c>
      <c r="P1210" s="4" t="inlineStr">
        <is>
          <t>Место в VNUR-2026 (Top 100; независимый национальный рейтинг вузов Вьетнама, не государственный).</t>
        </is>
      </c>
    </row>
    <row r="1211">
      <c r="A1211" s="3" t="inlineStr">
        <is>
          <t>Vietnam|Industrial University of Ho Chi Minh City</t>
        </is>
      </c>
      <c r="B1211" s="3" t="inlineStr">
        <is>
          <t>Vietnam</t>
        </is>
      </c>
      <c r="C1211" s="3" t="inlineStr">
        <is>
          <t>Хошимин</t>
        </is>
      </c>
      <c r="D1211" s="3" t="inlineStr">
        <is>
          <t>Industrial University of Ho Chi Minh City</t>
        </is>
      </c>
      <c r="E1211" s="3" t="inlineStr">
        <is>
          <t>Trường Đại học Công nghiệp Thành phố Hồ Chí Minh</t>
        </is>
      </c>
      <c r="F1211" s="3" t="inlineStr">
        <is>
          <t>https://iuh.edu.vn</t>
        </is>
      </c>
      <c r="G1211" s="3" t="inlineStr">
        <is>
          <t>QS2027: 1401+</t>
        </is>
      </c>
      <c r="H1211" s="3" t="inlineStr">
        <is>
          <t>THE2027: 2001+</t>
        </is>
      </c>
      <c r="I1211" s="3" t="inlineStr"/>
      <c r="J1211" s="4" t="inlineStr">
        <is>
          <t>1401+</t>
        </is>
      </c>
      <c r="K1211" s="4" t="inlineStr">
        <is>
          <t>2001+</t>
        </is>
      </c>
      <c r="L1211" s="4" t="inlineStr">
        <is>
          <t>нет в опубл. списке (опубликован только топ-15 страны)</t>
        </is>
      </c>
      <c r="M1211" s="4" t="inlineStr">
        <is>
          <t>VNUR — Bảng xếp hạng Top 100 trường đại học Việt Nam, 2026</t>
        </is>
      </c>
      <c r="N1211" s="4" t="inlineStr">
        <is>
          <t>12</t>
        </is>
      </c>
      <c r="O1211" s="4" t="inlineStr">
        <is>
          <t>https://www.topuniversities.com/world-university-rankings (QS WUR 2027)
https://www.timeshighereducation.com/world-university-rankings/2027/world-ranking
https://vnur.vn/bang-xep-hang-top-100-truong-dai-hoc-viet-nam-nam-2026</t>
        </is>
      </c>
      <c r="P1211" s="4" t="inlineStr">
        <is>
          <t>Место в VNUR-2026 (Top 100; независимый национальный рейтинг вузов Вьетнама, не государственный).</t>
        </is>
      </c>
    </row>
    <row r="1212">
      <c r="A1212" s="3" t="inlineStr">
        <is>
          <t>Vietnam|National Economics University</t>
        </is>
      </c>
      <c r="B1212" s="3" t="inlineStr">
        <is>
          <t>Vietnam</t>
        </is>
      </c>
      <c r="C1212" s="3" t="inlineStr">
        <is>
          <t>Ханой</t>
        </is>
      </c>
      <c r="D1212" s="3" t="inlineStr">
        <is>
          <t>National Economics University</t>
        </is>
      </c>
      <c r="E1212" s="3" t="inlineStr">
        <is>
          <t>Đại học Kinh tế Quốc dân</t>
        </is>
      </c>
      <c r="F1212" s="3" t="inlineStr">
        <is>
          <t>https://neu.edu.vn</t>
        </is>
      </c>
      <c r="G1212" s="3" t="inlineStr"/>
      <c r="H1212" s="3" t="inlineStr">
        <is>
          <t>THE2027: 1601–1800</t>
        </is>
      </c>
      <c r="I1212" s="3" t="inlineStr"/>
      <c r="J1212" s="4" t="inlineStr">
        <is>
          <t>не в рейтинге</t>
        </is>
      </c>
      <c r="K1212" s="4" t="inlineStr">
        <is>
          <t>1601–1800</t>
        </is>
      </c>
      <c r="L1212" s="4" t="inlineStr">
        <is>
          <t>2484</t>
        </is>
      </c>
      <c r="M1212" s="4" t="inlineStr">
        <is>
          <t>VNUR — Bảng xếp hạng Top 100 trường đại học Việt Nam, 2026</t>
        </is>
      </c>
      <c r="N1212" s="4" t="inlineStr">
        <is>
          <t>11</t>
        </is>
      </c>
      <c r="O1212" s="4" t="inlineStr">
        <is>
          <t>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P1212" s="4" t="inlineStr">
        <is>
          <t>Место в VNUR-2026 (Top 100; независимый национальный рейтинг вузов Вьетнама, не государственный).</t>
        </is>
      </c>
    </row>
    <row r="1213">
      <c r="A1213" s="3" t="inlineStr">
        <is>
          <t>Vietnam|Nguyen Tat Thanh University</t>
        </is>
      </c>
      <c r="B1213" s="3" t="inlineStr">
        <is>
          <t>Vietnam</t>
        </is>
      </c>
      <c r="C1213" s="3" t="inlineStr">
        <is>
          <t>Хошимин</t>
        </is>
      </c>
      <c r="D1213" s="3" t="inlineStr">
        <is>
          <t>Nguyen Tat Thanh University</t>
        </is>
      </c>
      <c r="E1213" s="3" t="inlineStr">
        <is>
          <t>Trường Đại học Nguyễn Tất Thành</t>
        </is>
      </c>
      <c r="F1213" s="3" t="inlineStr">
        <is>
          <t>https://ntt.edu.vn</t>
        </is>
      </c>
      <c r="G1213" s="3" t="inlineStr"/>
      <c r="H1213" s="3" t="inlineStr">
        <is>
          <t>THE2027: 1201–1400</t>
        </is>
      </c>
      <c r="I1213" s="3" t="inlineStr"/>
      <c r="J1213" s="4" t="inlineStr">
        <is>
          <t>не в рейтинге</t>
        </is>
      </c>
      <c r="K1213" s="4" t="inlineStr">
        <is>
          <t>1201–1400</t>
        </is>
      </c>
      <c r="L1213" s="4" t="inlineStr">
        <is>
          <t>нет в опубл. списке (опубликован только топ-15 страны)</t>
        </is>
      </c>
      <c r="M1213" s="4" t="inlineStr">
        <is>
          <t>VNUR — Bảng xếp hạng Top 100 trường đại học Việt Nam, 2026</t>
        </is>
      </c>
      <c r="N1213" s="4" t="inlineStr">
        <is>
          <t>16</t>
        </is>
      </c>
      <c r="O1213" s="4" t="inlineStr">
        <is>
          <t>https://www.timeshighereducation.com/world-university-rankings/2027/world-ranking
https://vnur.vn/bang-xep-hang-top-100-truong-dai-hoc-viet-nam-nam-2026</t>
        </is>
      </c>
      <c r="P1213" s="4" t="inlineStr">
        <is>
          <t>Место в VNUR-2026 (Top 100; независимый национальный рейтинг вузов Вьетнама, не государственный).</t>
        </is>
      </c>
    </row>
    <row r="1214">
      <c r="A1214" s="3" t="inlineStr">
        <is>
          <t>Vietnam|Nha Trang University</t>
        </is>
      </c>
      <c r="B1214" s="3" t="inlineStr">
        <is>
          <t>Vietnam</t>
        </is>
      </c>
      <c r="C1214" s="3" t="inlineStr">
        <is>
          <t>Нячанг</t>
        </is>
      </c>
      <c r="D1214" s="3" t="inlineStr">
        <is>
          <t>Nha Trang University</t>
        </is>
      </c>
      <c r="E1214" s="3" t="inlineStr">
        <is>
          <t>Trường Đại học Nha Trang</t>
        </is>
      </c>
      <c r="F1214" s="3" t="inlineStr">
        <is>
          <t>https://ntu.edu.vn</t>
        </is>
      </c>
      <c r="G1214" s="3" t="inlineStr"/>
      <c r="H1214" s="3" t="inlineStr"/>
      <c r="I1214" s="3" t="inlineStr"/>
      <c r="J1214" s="4" t="inlineStr">
        <is>
          <t>не в рейтинге</t>
        </is>
      </c>
      <c r="K1214" s="4" t="inlineStr">
        <is>
          <t>не в рейтинге</t>
        </is>
      </c>
      <c r="L1214" s="4" t="inlineStr">
        <is>
          <t>нет в опубл. списке (опубликован только топ-15 страны)</t>
        </is>
      </c>
      <c r="M1214" s="4" t="inlineStr">
        <is>
          <t>VNUR — Bảng xếp hạng Top 100 trường đại học Việt Nam, 2026</t>
        </is>
      </c>
      <c r="N1214" s="4" t="inlineStr">
        <is>
          <t>44</t>
        </is>
      </c>
      <c r="O1214" s="4" t="inlineStr">
        <is>
          <t>https://vnur.vn/bang-xep-hang-top-100-truong-dai-hoc-viet-nam-nam-2026</t>
        </is>
      </c>
      <c r="P1214" s="4" t="inlineStr">
        <is>
          <t>Место в VNUR-2026 (Top 100; независимый национальный рейтинг вузов Вьетнама, не государственный).</t>
        </is>
      </c>
    </row>
    <row r="1215">
      <c r="A1215" s="3" t="inlineStr">
        <is>
          <t>Vietnam|Posts and Telecommunications Institute of Technology</t>
        </is>
      </c>
      <c r="B1215" s="3" t="inlineStr">
        <is>
          <t>Vietnam</t>
        </is>
      </c>
      <c r="C1215" s="3" t="inlineStr">
        <is>
          <t>Ханой</t>
        </is>
      </c>
      <c r="D1215" s="3" t="inlineStr">
        <is>
          <t>Posts and Telecommunications Institute of Technology</t>
        </is>
      </c>
      <c r="E1215" s="3" t="inlineStr">
        <is>
          <t>Học viện Công nghệ Bưu chính Viễn thông</t>
        </is>
      </c>
      <c r="F1215" s="3" t="inlineStr">
        <is>
          <t>https://ptit.edu.vn</t>
        </is>
      </c>
      <c r="G1215" s="3" t="inlineStr"/>
      <c r="H1215" s="3" t="inlineStr"/>
      <c r="I1215" s="3" t="inlineStr"/>
      <c r="J1215" s="4" t="inlineStr">
        <is>
          <t>не в рейтинге</t>
        </is>
      </c>
      <c r="K1215" s="4" t="inlineStr">
        <is>
          <t>не в рейтинге</t>
        </is>
      </c>
      <c r="L1215" s="4" t="inlineStr">
        <is>
          <t>нет в опубл. списке (опубликован только топ-15 страны)</t>
        </is>
      </c>
      <c r="M1215" s="4" t="inlineStr">
        <is>
          <t>VNUR — Bảng xếp hạng Top 100 trường đại học Việt Nam, 2026</t>
        </is>
      </c>
      <c r="N1215" s="4" t="inlineStr">
        <is>
          <t>не в рейтинге</t>
        </is>
      </c>
      <c r="O1215" s="4" t="inlineStr">
        <is>
          <t>https://vnur.vn/bang-xep-hang-top-100-truong-dai-hoc-viet-nam-nam-2026</t>
        </is>
      </c>
      <c r="P1215" s="4" t="inlineStr">
        <is>
          <t>Не входит в Top 100 VNUR-2026 (таблица Top 100 просмотрена полностью; дальше мест VNUR не публикует).</t>
        </is>
      </c>
    </row>
    <row r="1216">
      <c r="A1216" s="3" t="inlineStr">
        <is>
          <t>Vietnam|Quy Nhon University</t>
        </is>
      </c>
      <c r="B1216" s="3" t="inlineStr">
        <is>
          <t>Vietnam</t>
        </is>
      </c>
      <c r="C1216" s="3" t="inlineStr">
        <is>
          <t>Куинён</t>
        </is>
      </c>
      <c r="D1216" s="3" t="inlineStr">
        <is>
          <t>Quy Nhon University</t>
        </is>
      </c>
      <c r="E1216" s="3" t="inlineStr">
        <is>
          <t>Trường Đại học Quy Nhơn</t>
        </is>
      </c>
      <c r="F1216" s="3" t="inlineStr">
        <is>
          <t>https://qnu.edu.vn</t>
        </is>
      </c>
      <c r="G1216" s="3" t="inlineStr"/>
      <c r="H1216" s="3" t="inlineStr"/>
      <c r="I1216" s="3" t="inlineStr"/>
      <c r="J1216" s="4" t="inlineStr">
        <is>
          <t>не в рейтинге</t>
        </is>
      </c>
      <c r="K1216" s="4" t="inlineStr">
        <is>
          <t>не в рейтинге</t>
        </is>
      </c>
      <c r="L1216" s="4" t="inlineStr">
        <is>
          <t>нет в опубл. списке (опубликован только топ-15 страны)</t>
        </is>
      </c>
      <c r="M1216" s="4" t="inlineStr">
        <is>
          <t>VNUR — Bảng xếp hạng Top 100 trường đại học Việt Nam, 2026</t>
        </is>
      </c>
      <c r="N1216" s="4" t="inlineStr">
        <is>
          <t>23</t>
        </is>
      </c>
      <c r="O1216" s="4" t="inlineStr">
        <is>
          <t>https://vnur.vn/bang-xep-hang-top-100-truong-dai-hoc-viet-nam-nam-2026</t>
        </is>
      </c>
      <c r="P1216" s="4" t="inlineStr">
        <is>
          <t>Место в VNUR-2026 (Top 100; независимый национальный рейтинг вузов Вьетнама, не государственный).</t>
        </is>
      </c>
    </row>
    <row r="1217">
      <c r="A1217" s="3" t="inlineStr">
        <is>
          <t>Vietnam|RMIT University Vietnam</t>
        </is>
      </c>
      <c r="B1217" s="3" t="inlineStr">
        <is>
          <t>Vietnam</t>
        </is>
      </c>
      <c r="C1217" s="3" t="inlineStr">
        <is>
          <t>Хошимин</t>
        </is>
      </c>
      <c r="D1217" s="3" t="inlineStr">
        <is>
          <t>RMIT University Vietnam</t>
        </is>
      </c>
      <c r="E1217" s="3" t="inlineStr">
        <is>
          <t>Đại học RMIT Việt Nam</t>
        </is>
      </c>
      <c r="F1217" s="3" t="inlineStr">
        <is>
          <t>https://www.rmit.edu.vn</t>
        </is>
      </c>
      <c r="G1217" s="3" t="inlineStr"/>
      <c r="H1217" s="3" t="inlineStr"/>
      <c r="I1217" s="3" t="inlineStr"/>
      <c r="J1217" s="4" t="inlineStr">
        <is>
          <t>не в рейтинге</t>
        </is>
      </c>
      <c r="K1217" s="4" t="inlineStr">
        <is>
          <t>не в рейтинге</t>
        </is>
      </c>
      <c r="L1217" s="4" t="inlineStr">
        <is>
          <t>нет в опубл. списке (опубликован только топ-15 страны)</t>
        </is>
      </c>
      <c r="M1217" s="4" t="inlineStr">
        <is>
          <t>VNUR — Bảng xếp hạng Top 100 trường đại học Việt Nam, 2026</t>
        </is>
      </c>
      <c r="N1217" s="4" t="inlineStr">
        <is>
          <t>не в рейтинге</t>
        </is>
      </c>
      <c r="O1217" s="4" t="inlineStr">
        <is>
          <t>https://vnur.vn/bang-xep-hang-top-100-truong-dai-hoc-viet-nam-nam-2026</t>
        </is>
      </c>
      <c r="P1217" s="4" t="inlineStr">
        <is>
          <t>Не входит в Top 100 VNUR-2026 (таблица Top 100 просмотрена полностью; дальше мест VNUR не публикует).</t>
        </is>
      </c>
    </row>
    <row r="1218">
      <c r="A1218" s="3" t="inlineStr">
        <is>
          <t>Vietnam|Saigon University</t>
        </is>
      </c>
      <c r="B1218" s="3" t="inlineStr">
        <is>
          <t>Vietnam</t>
        </is>
      </c>
      <c r="C1218" s="3" t="inlineStr">
        <is>
          <t>Хошимин</t>
        </is>
      </c>
      <c r="D1218" s="3" t="inlineStr">
        <is>
          <t>Saigon University</t>
        </is>
      </c>
      <c r="E1218" s="3" t="inlineStr">
        <is>
          <t>Trường Đại học Sài Gòn</t>
        </is>
      </c>
      <c r="F1218" s="3" t="inlineStr">
        <is>
          <t>https://www.sgu.edu.vn</t>
        </is>
      </c>
      <c r="G1218" s="3" t="inlineStr"/>
      <c r="H1218" s="3" t="inlineStr"/>
      <c r="I1218" s="3" t="inlineStr"/>
      <c r="J1218" s="4" t="inlineStr">
        <is>
          <t>не в рейтинге</t>
        </is>
      </c>
      <c r="K1218" s="4" t="inlineStr">
        <is>
          <t>не в рейтинге</t>
        </is>
      </c>
      <c r="L1218" s="4" t="inlineStr">
        <is>
          <t>нет в опубл. списке (опубликован только топ-15 страны)</t>
        </is>
      </c>
      <c r="M1218" s="4" t="inlineStr">
        <is>
          <t>VNUR — Bảng xếp hạng Top 100 trường đại học Việt Nam, 2026</t>
        </is>
      </c>
      <c r="N1218" s="4" t="inlineStr">
        <is>
          <t>56</t>
        </is>
      </c>
      <c r="O1218" s="4" t="inlineStr">
        <is>
          <t>https://vnur.vn/bang-xep-hang-top-100-truong-dai-hoc-viet-nam-nam-2026</t>
        </is>
      </c>
      <c r="P1218" s="4" t="inlineStr">
        <is>
          <t>Место в VNUR-2026 (Top 100; независимый национальный рейтинг вузов Вьетнама, не государственный).</t>
        </is>
      </c>
    </row>
    <row r="1219">
      <c r="A1219" s="3" t="inlineStr">
        <is>
          <t>Vietnam|Thai Nguyen University</t>
        </is>
      </c>
      <c r="B1219" s="3" t="inlineStr">
        <is>
          <t>Vietnam</t>
        </is>
      </c>
      <c r="C1219" s="3" t="inlineStr">
        <is>
          <t>Тхайнгуен</t>
        </is>
      </c>
      <c r="D1219" s="3" t="inlineStr">
        <is>
          <t>Thai Nguyen University</t>
        </is>
      </c>
      <c r="E1219" s="3" t="inlineStr">
        <is>
          <t>Đại học Thái Nguyên</t>
        </is>
      </c>
      <c r="F1219" s="3" t="inlineStr">
        <is>
          <t>https://tnu.edu.vn</t>
        </is>
      </c>
      <c r="G1219" s="3" t="inlineStr"/>
      <c r="H1219" s="3" t="inlineStr"/>
      <c r="I1219" s="3" t="inlineStr"/>
      <c r="J1219" s="4" t="inlineStr">
        <is>
          <t>не в рейтинге</t>
        </is>
      </c>
      <c r="K1219" s="4" t="inlineStr">
        <is>
          <t>не в рейтинге</t>
        </is>
      </c>
      <c r="L1219" s="4" t="inlineStr">
        <is>
          <t>нет в опубл. списке (опубликован только топ-15 страны)</t>
        </is>
      </c>
      <c r="M1219" s="4" t="inlineStr">
        <is>
          <t>VNUR — Bảng xếp hạng Top 100 trường đại học Việt Nam, 2026</t>
        </is>
      </c>
      <c r="N1219" s="4" t="inlineStr">
        <is>
          <t>15</t>
        </is>
      </c>
      <c r="O1219" s="4" t="inlineStr">
        <is>
          <t>https://vnur.vn/bang-xep-hang-top-100-truong-dai-hoc-viet-nam-nam-2026</t>
        </is>
      </c>
      <c r="P1219" s="4" t="inlineStr">
        <is>
          <t>Место в VNUR-2026 (Top 100; независимый национальный рейтинг вузов Вьетнама, не государственный).</t>
        </is>
      </c>
    </row>
    <row r="1220">
      <c r="A1220" s="3" t="inlineStr">
        <is>
          <t>Vietnam|The University of Danang</t>
        </is>
      </c>
      <c r="B1220" s="3" t="inlineStr">
        <is>
          <t>Vietnam</t>
        </is>
      </c>
      <c r="C1220" s="3" t="inlineStr">
        <is>
          <t>Дананг</t>
        </is>
      </c>
      <c r="D1220" s="3" t="inlineStr">
        <is>
          <t>The University of Danang</t>
        </is>
      </c>
      <c r="E1220" s="3" t="inlineStr">
        <is>
          <t>Đại học Đà Nẵng</t>
        </is>
      </c>
      <c r="F1220" s="3" t="inlineStr">
        <is>
          <t>https://www.udn.vn</t>
        </is>
      </c>
      <c r="G1220" s="3" t="inlineStr"/>
      <c r="H1220" s="3" t="inlineStr">
        <is>
          <t>THE2027: 2001+</t>
        </is>
      </c>
      <c r="I1220" s="3" t="inlineStr"/>
      <c r="J1220" s="4" t="inlineStr">
        <is>
          <t>не в рейтинге</t>
        </is>
      </c>
      <c r="K1220" s="4" t="inlineStr">
        <is>
          <t>2001+</t>
        </is>
      </c>
      <c r="L1220" s="4" t="inlineStr">
        <is>
          <t>1689</t>
        </is>
      </c>
      <c r="M1220" s="4" t="inlineStr">
        <is>
          <t>VNUR — Bảng xếp hạng Top 100 trường đại học Việt Nam, 2026</t>
        </is>
      </c>
      <c r="N1220" s="4" t="inlineStr">
        <is>
          <t>9</t>
        </is>
      </c>
      <c r="O1220" s="4" t="inlineStr">
        <is>
          <t>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P1220" s="4" t="inlineStr">
        <is>
          <t>Место в VNUR-2026 (Top 100; независимый национальный рейтинг вузов Вьетнама, не государственный).</t>
        </is>
      </c>
    </row>
    <row r="1221">
      <c r="A1221" s="3" t="inlineStr">
        <is>
          <t>Vietnam|Thuyloi University</t>
        </is>
      </c>
      <c r="B1221" s="3" t="inlineStr">
        <is>
          <t>Vietnam</t>
        </is>
      </c>
      <c r="C1221" s="3" t="inlineStr">
        <is>
          <t>Ханой</t>
        </is>
      </c>
      <c r="D1221" s="3" t="inlineStr">
        <is>
          <t>Thuyloi University</t>
        </is>
      </c>
      <c r="E1221" s="3" t="inlineStr">
        <is>
          <t>Trường Đại học Thủy lợi</t>
        </is>
      </c>
      <c r="F1221" s="3" t="inlineStr">
        <is>
          <t>https://tlu.edu.vn</t>
        </is>
      </c>
      <c r="G1221" s="3" t="inlineStr"/>
      <c r="H1221" s="3" t="inlineStr"/>
      <c r="I1221" s="3" t="inlineStr"/>
      <c r="J1221" s="4" t="inlineStr">
        <is>
          <t>не в рейтинге</t>
        </is>
      </c>
      <c r="K1221" s="4" t="inlineStr">
        <is>
          <t>не в рейтинге</t>
        </is>
      </c>
      <c r="L1221" s="4" t="inlineStr">
        <is>
          <t>2550</t>
        </is>
      </c>
      <c r="M1221" s="4" t="inlineStr">
        <is>
          <t>VNUR — Bảng xếp hạng Top 100 trường đại học Việt Nam, 2026</t>
        </is>
      </c>
      <c r="N1221" s="4" t="inlineStr">
        <is>
          <t>20</t>
        </is>
      </c>
      <c r="O1221" s="4" t="inlineStr">
        <is>
          <t>https://figshare.com/articles/preprint/Ranking_Web_of_Universities_webometrics_info_July_2026_edition/33062150
https://vnur.vn/bang-xep-hang-top-100-truong-dai-hoc-viet-nam-nam-2026</t>
        </is>
      </c>
      <c r="P1221" s="4" t="inlineStr">
        <is>
          <t>Место в VNUR-2026 (Top 100; независимый национальный рейтинг вузов Вьетнама, не государственный).</t>
        </is>
      </c>
    </row>
    <row r="1222">
      <c r="A1222" s="3" t="inlineStr">
        <is>
          <t>Vietnam|Ton Duc Thang University</t>
        </is>
      </c>
      <c r="B1222" s="3" t="inlineStr">
        <is>
          <t>Vietnam</t>
        </is>
      </c>
      <c r="C1222" s="3" t="inlineStr">
        <is>
          <t>Хошимин</t>
        </is>
      </c>
      <c r="D1222" s="3" t="inlineStr">
        <is>
          <t>Ton Duc Thang University</t>
        </is>
      </c>
      <c r="E1222" s="3" t="inlineStr">
        <is>
          <t>Trường Đại học Tôn Đức Thắng</t>
        </is>
      </c>
      <c r="F1222" s="3" t="inlineStr">
        <is>
          <t>https://tdtu.edu.vn</t>
        </is>
      </c>
      <c r="G1222" s="3" t="inlineStr">
        <is>
          <t>QS2027: 801-850</t>
        </is>
      </c>
      <c r="H1222" s="3" t="inlineStr">
        <is>
          <t>THE2027: 1001–1200</t>
        </is>
      </c>
      <c r="I1222" s="3" t="inlineStr"/>
      <c r="J1222" s="4" t="inlineStr">
        <is>
          <t>801–850</t>
        </is>
      </c>
      <c r="K1222" s="4" t="inlineStr">
        <is>
          <t>1001–1200</t>
        </is>
      </c>
      <c r="L1222" s="4" t="inlineStr">
        <is>
          <t>1412</t>
        </is>
      </c>
      <c r="M1222" s="4" t="inlineStr">
        <is>
          <t>VNUR — Bảng xếp hạng Top 100 trường đại học Việt Nam, 2026</t>
        </is>
      </c>
      <c r="N1222" s="4" t="inlineStr">
        <is>
          <t>5</t>
        </is>
      </c>
      <c r="O1222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P1222" s="4" t="inlineStr">
        <is>
          <t>Место в VNUR-2026 (Top 100; независимый национальный рейтинг вузов Вьетнама, не государственный).</t>
        </is>
      </c>
    </row>
    <row r="1223">
      <c r="A1223" s="3" t="inlineStr">
        <is>
          <t>Vietnam|University of Economics Ho Chi Minh City (UEH University)</t>
        </is>
      </c>
      <c r="B1223" s="3" t="inlineStr">
        <is>
          <t>Vietnam</t>
        </is>
      </c>
      <c r="C1223" s="3" t="inlineStr">
        <is>
          <t>Хошимин</t>
        </is>
      </c>
      <c r="D1223" s="3" t="inlineStr">
        <is>
          <t>University of Economics Ho Chi Minh City (UEH University)</t>
        </is>
      </c>
      <c r="E1223" s="3" t="inlineStr">
        <is>
          <t>Đại học Kinh tế Thành phố Hồ Chí Minh</t>
        </is>
      </c>
      <c r="F1223" s="3" t="inlineStr">
        <is>
          <t>https://ueh.edu.vn</t>
        </is>
      </c>
      <c r="G1223" s="3" t="inlineStr"/>
      <c r="H1223" s="3" t="inlineStr">
        <is>
          <t>THE2027: 701–800</t>
        </is>
      </c>
      <c r="I1223" s="3" t="inlineStr"/>
      <c r="J1223" s="4" t="inlineStr">
        <is>
          <t>не в рейтинге</t>
        </is>
      </c>
      <c r="K1223" s="4" t="inlineStr">
        <is>
          <t>701–800</t>
        </is>
      </c>
      <c r="L1223" s="4" t="inlineStr">
        <is>
          <t>1519</t>
        </is>
      </c>
      <c r="M1223" s="4" t="inlineStr">
        <is>
          <t>VNUR — Bảng xếp hạng Top 100 trường đại học Việt Nam, 2026</t>
        </is>
      </c>
      <c r="N1223" s="4" t="inlineStr">
        <is>
          <t>4</t>
        </is>
      </c>
      <c r="O1223" s="4" t="inlineStr">
        <is>
          <t>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P1223" s="4" t="inlineStr">
        <is>
          <t>THE: в таблице как «UEH University»; Место в VNUR-2026 (Top 100; независимый национальный рейтинг вузов Вьетнама, не государственный).</t>
        </is>
      </c>
    </row>
    <row r="1224">
      <c r="A1224" s="3" t="inlineStr">
        <is>
          <t>Vietnam|University of Science and Technology of Hanoi</t>
        </is>
      </c>
      <c r="B1224" s="3" t="inlineStr">
        <is>
          <t>Vietnam</t>
        </is>
      </c>
      <c r="C1224" s="3" t="inlineStr">
        <is>
          <t>Ханой</t>
        </is>
      </c>
      <c r="D1224" s="3" t="inlineStr">
        <is>
          <t>University of Science and Technology of Hanoi</t>
        </is>
      </c>
      <c r="E1224" s="3" t="inlineStr">
        <is>
          <t>Trường Đại học Khoa học và Công nghệ Hà Nội</t>
        </is>
      </c>
      <c r="F1224" s="3" t="inlineStr">
        <is>
          <t>https://usth.edu.vn</t>
        </is>
      </c>
      <c r="G1224" s="3" t="inlineStr"/>
      <c r="H1224" s="3" t="inlineStr"/>
      <c r="I1224" s="3" t="inlineStr"/>
      <c r="J1224" s="4" t="inlineStr">
        <is>
          <t>не в рейтинге</t>
        </is>
      </c>
      <c r="K1224" s="4" t="inlineStr">
        <is>
          <t>не в рейтинге</t>
        </is>
      </c>
      <c r="L1224" s="4" t="inlineStr">
        <is>
          <t>нет в опубл. списке (опубликован только топ-15 страны)</t>
        </is>
      </c>
      <c r="M1224" s="4" t="inlineStr">
        <is>
          <t>VNUR — Bảng xếp hạng Top 100 trường đại học Việt Nam, 2026</t>
        </is>
      </c>
      <c r="N1224" s="4" t="inlineStr">
        <is>
          <t>6</t>
        </is>
      </c>
      <c r="O1224" s="4" t="inlineStr">
        <is>
          <t>https://vnur.vn/bang-xep-hang-top-100-truong-dai-hoc-viet-nam-nam-2026</t>
        </is>
      </c>
      <c r="P1224" s="4" t="inlineStr">
        <is>
          <t>Место в VNUR-2026 (Top 100; независимый национальный рейтинг вузов Вьетнама, не государственный).</t>
        </is>
      </c>
    </row>
    <row r="1225">
      <c r="A1225" s="3" t="inlineStr">
        <is>
          <t>Vietnam|University of Transport and Communications</t>
        </is>
      </c>
      <c r="B1225" s="3" t="inlineStr">
        <is>
          <t>Vietnam</t>
        </is>
      </c>
      <c r="C1225" s="3" t="inlineStr">
        <is>
          <t>Ханой</t>
        </is>
      </c>
      <c r="D1225" s="3" t="inlineStr">
        <is>
          <t>University of Transport and Communications</t>
        </is>
      </c>
      <c r="E1225" s="3" t="inlineStr">
        <is>
          <t>Trường Đại học Giao thông vận tải</t>
        </is>
      </c>
      <c r="F1225" s="3" t="inlineStr">
        <is>
          <t>https://utc.edu.vn</t>
        </is>
      </c>
      <c r="G1225" s="3" t="inlineStr"/>
      <c r="H1225" s="3" t="inlineStr"/>
      <c r="I1225" s="3" t="inlineStr"/>
      <c r="J1225" s="4" t="inlineStr">
        <is>
          <t>не в рейтинге</t>
        </is>
      </c>
      <c r="K1225" s="4" t="inlineStr">
        <is>
          <t>не в рейтинге</t>
        </is>
      </c>
      <c r="L1225" s="4" t="inlineStr">
        <is>
          <t>нет в опубл. списке (опубликован только топ-15 страны)</t>
        </is>
      </c>
      <c r="M1225" s="4" t="inlineStr">
        <is>
          <t>VNUR — Bảng xếp hạng Top 100 trường đại học Việt Nam, 2026</t>
        </is>
      </c>
      <c r="N1225" s="4" t="inlineStr">
        <is>
          <t>24</t>
        </is>
      </c>
      <c r="O1225" s="4" t="inlineStr">
        <is>
          <t>https://vnur.vn/bang-xep-hang-top-100-truong-dai-hoc-viet-nam-nam-2026</t>
        </is>
      </c>
      <c r="P1225" s="4" t="inlineStr">
        <is>
          <t>Место в VNUR-2026 (Top 100; независимый национальный рейтинг вузов Вьетнама, не государственный).</t>
        </is>
      </c>
    </row>
    <row r="1226">
      <c r="A1226" s="3" t="inlineStr">
        <is>
          <t>Vietnam|Vietnam Academy of Science and Technology</t>
        </is>
      </c>
      <c r="B1226" s="3" t="inlineStr">
        <is>
          <t>Vietnam</t>
        </is>
      </c>
      <c r="C1226" s="3" t="inlineStr">
        <is>
          <t>Ханой</t>
        </is>
      </c>
      <c r="D1226" s="3" t="inlineStr">
        <is>
          <t>Vietnam Academy of Science and Technology</t>
        </is>
      </c>
      <c r="E1226" s="3" t="inlineStr">
        <is>
          <t>Viện Hàn lâm Khoa học và Công nghệ Việt Nam</t>
        </is>
      </c>
      <c r="F1226" s="3" t="inlineStr">
        <is>
          <t>https://vast.gov.vn</t>
        </is>
      </c>
      <c r="G1226" s="3" t="inlineStr"/>
      <c r="H1226" s="3" t="inlineStr"/>
      <c r="I1226" s="3" t="inlineStr"/>
      <c r="J1226" s="4" t="inlineStr">
        <is>
          <t>не в рейтинге</t>
        </is>
      </c>
      <c r="K1226" s="4" t="inlineStr">
        <is>
          <t>не в рейтинге</t>
        </is>
      </c>
      <c r="L1226" s="4" t="inlineStr">
        <is>
          <t>нет в опубл. списке (опубликован только топ-15 страны)</t>
        </is>
      </c>
      <c r="M1226" s="4" t="inlineStr">
        <is>
          <t>VNUR — Bảng xếp hạng Top 100 trường đại học Việt Nam, 2026</t>
        </is>
      </c>
      <c r="N1226" s="4" t="inlineStr">
        <is>
          <t>не в рейтинге</t>
        </is>
      </c>
      <c r="O1226" s="4" t="inlineStr">
        <is>
          <t>https://vnur.vn/bang-xep-hang-top-100-truong-dai-hoc-viet-nam-nam-2026</t>
        </is>
      </c>
      <c r="P1226" s="4" t="inlineStr">
        <is>
          <t>Не вуз (Академия наук) — VNUR ранжирует только вузы.</t>
        </is>
      </c>
    </row>
    <row r="1227">
      <c r="A1227" s="3" t="inlineStr">
        <is>
          <t>Vietnam|Vietnam Maritime University</t>
        </is>
      </c>
      <c r="B1227" s="3" t="inlineStr">
        <is>
          <t>Vietnam</t>
        </is>
      </c>
      <c r="C1227" s="3" t="inlineStr">
        <is>
          <t>Хайфон</t>
        </is>
      </c>
      <c r="D1227" s="3" t="inlineStr">
        <is>
          <t>Vietnam Maritime University</t>
        </is>
      </c>
      <c r="E1227" s="3" t="inlineStr">
        <is>
          <t>Trường Đại học Hàng hải Việt Nam</t>
        </is>
      </c>
      <c r="F1227" s="3" t="inlineStr">
        <is>
          <t>https://vimaru.edu.vn</t>
        </is>
      </c>
      <c r="G1227" s="3" t="inlineStr"/>
      <c r="H1227" s="3" t="inlineStr"/>
      <c r="I1227" s="3" t="inlineStr"/>
      <c r="J1227" s="4" t="inlineStr">
        <is>
          <t>не в рейтинге</t>
        </is>
      </c>
      <c r="K1227" s="4" t="inlineStr">
        <is>
          <t>не в рейтинге</t>
        </is>
      </c>
      <c r="L1227" s="4" t="inlineStr">
        <is>
          <t>нет в опубл. списке (опубликован только топ-15 страны)</t>
        </is>
      </c>
      <c r="M1227" s="4" t="inlineStr">
        <is>
          <t>VNUR — Bảng xếp hạng Top 100 trường đại học Việt Nam, 2026</t>
        </is>
      </c>
      <c r="N1227" s="4" t="inlineStr">
        <is>
          <t>43</t>
        </is>
      </c>
      <c r="O1227" s="4" t="inlineStr">
        <is>
          <t>https://vnur.vn/bang-xep-hang-top-100-truong-dai-hoc-viet-nam-nam-2026</t>
        </is>
      </c>
      <c r="P1227" s="4" t="inlineStr">
        <is>
          <t>Место в VNUR-2026 (Top 100; независимый национальный рейтинг вузов Вьетнама, не государственный).</t>
        </is>
      </c>
    </row>
    <row r="1228">
      <c r="A1228" s="3" t="inlineStr">
        <is>
          <t>Vietnam|Vietnam National Space Center</t>
        </is>
      </c>
      <c r="B1228" s="3" t="inlineStr">
        <is>
          <t>Vietnam</t>
        </is>
      </c>
      <c r="C1228" s="3" t="inlineStr">
        <is>
          <t>Ханой</t>
        </is>
      </c>
      <c r="D1228" s="3" t="inlineStr">
        <is>
          <t>Vietnam National Space Center</t>
        </is>
      </c>
      <c r="E1228" s="3" t="inlineStr">
        <is>
          <t>Trung tâm Vũ trụ Việt Nam</t>
        </is>
      </c>
      <c r="F1228" s="3" t="inlineStr">
        <is>
          <t>https://vnsc.org.vn</t>
        </is>
      </c>
      <c r="G1228" s="3" t="inlineStr"/>
      <c r="H1228" s="3" t="inlineStr"/>
      <c r="I1228" s="3" t="inlineStr"/>
      <c r="J1228" s="4" t="inlineStr">
        <is>
          <t>не в рейтинге</t>
        </is>
      </c>
      <c r="K1228" s="4" t="inlineStr">
        <is>
          <t>не в рейтинге</t>
        </is>
      </c>
      <c r="L1228" s="4" t="inlineStr">
        <is>
          <t>нет в опубл. списке (опубликован только топ-15 страны)</t>
        </is>
      </c>
      <c r="M1228" s="4" t="inlineStr">
        <is>
          <t>VNUR — Bảng xếp hạng Top 100 trường đại học Việt Nam, 2026</t>
        </is>
      </c>
      <c r="N1228" s="4" t="inlineStr">
        <is>
          <t>не в рейтинге</t>
        </is>
      </c>
      <c r="O1228" s="4" t="inlineStr">
        <is>
          <t>https://vnur.vn/bang-xep-hang-top-100-truong-dai-hoc-viet-nam-nam-2026</t>
        </is>
      </c>
      <c r="P1228" s="4" t="inlineStr">
        <is>
          <t>Не вуз (космический центр) — VNUR ранжирует только вузы.</t>
        </is>
      </c>
    </row>
    <row r="1229">
      <c r="A1229" s="3" t="inlineStr">
        <is>
          <t>Vietnam|Vietnam National University of Agriculture</t>
        </is>
      </c>
      <c r="B1229" s="3" t="inlineStr">
        <is>
          <t>Vietnam</t>
        </is>
      </c>
      <c r="C1229" s="3" t="inlineStr">
        <is>
          <t>Ханой</t>
        </is>
      </c>
      <c r="D1229" s="3" t="inlineStr">
        <is>
          <t>Vietnam National University of Agriculture</t>
        </is>
      </c>
      <c r="E1229" s="3" t="inlineStr">
        <is>
          <t>Học viện Nông nghiệp Việt Nam</t>
        </is>
      </c>
      <c r="F1229" s="3" t="inlineStr">
        <is>
          <t>https://vnua.edu.vn</t>
        </is>
      </c>
      <c r="G1229" s="3" t="inlineStr"/>
      <c r="H1229" s="3" t="inlineStr"/>
      <c r="I1229" s="3" t="inlineStr"/>
      <c r="J1229" s="4" t="inlineStr">
        <is>
          <t>не в рейтинге</t>
        </is>
      </c>
      <c r="K1229" s="4" t="inlineStr">
        <is>
          <t>не в рейтинге</t>
        </is>
      </c>
      <c r="L1229" s="4" t="inlineStr">
        <is>
          <t>нет в опубл. списке (опубликован только топ-15 страны)</t>
        </is>
      </c>
      <c r="M1229" s="4" t="inlineStr">
        <is>
          <t>VNUR — Bảng xếp hạng Top 100 trường đại học Việt Nam, 2026</t>
        </is>
      </c>
      <c r="N1229" s="4" t="inlineStr">
        <is>
          <t>17</t>
        </is>
      </c>
      <c r="O1229" s="4" t="inlineStr">
        <is>
          <t>https://vnur.vn/bang-xep-hang-top-100-truong-dai-hoc-viet-nam-nam-2026</t>
        </is>
      </c>
      <c r="P1229" s="4" t="inlineStr">
        <is>
          <t>Место в VNUR-2026 (Top 100; независимый национальный рейтинг вузов Вьетнама, не государственный).</t>
        </is>
      </c>
    </row>
    <row r="1230">
      <c r="A1230" s="3" t="inlineStr">
        <is>
          <t>Vietnam|Vietnam National University, Hanoi</t>
        </is>
      </c>
      <c r="B1230" s="3" t="inlineStr">
        <is>
          <t>Vietnam</t>
        </is>
      </c>
      <c r="C1230" s="3" t="inlineStr">
        <is>
          <t>Ханой</t>
        </is>
      </c>
      <c r="D1230" s="3" t="inlineStr">
        <is>
          <t>Vietnam National University, Hanoi</t>
        </is>
      </c>
      <c r="E1230" s="3" t="inlineStr">
        <is>
          <t>Đại học Quốc gia Hà Nội</t>
        </is>
      </c>
      <c r="F1230" s="3" t="inlineStr">
        <is>
          <t>https://vnu.edu.vn</t>
        </is>
      </c>
      <c r="G1230" s="3" t="inlineStr">
        <is>
          <t>QS2027: 751-760</t>
        </is>
      </c>
      <c r="H1230" s="3" t="inlineStr">
        <is>
          <t>THE2027: 1201–1400</t>
        </is>
      </c>
      <c r="I1230" s="3" t="inlineStr"/>
      <c r="J1230" s="4" t="inlineStr">
        <is>
          <t>751–760</t>
        </is>
      </c>
      <c r="K1230" s="4" t="inlineStr">
        <is>
          <t>1201–1400</t>
        </is>
      </c>
      <c r="L1230" s="4" t="inlineStr">
        <is>
          <t>нет в опубл. списке (опубликован только топ-15 страны)</t>
        </is>
      </c>
      <c r="M1230" s="4" t="inlineStr">
        <is>
          <t>VNUR — Bảng xếp hạng Top 100 trường đại học Việt Nam, 2026</t>
        </is>
      </c>
      <c r="N1230" s="4" t="inlineStr">
        <is>
          <t>1</t>
        </is>
      </c>
      <c r="O1230" s="4" t="inlineStr">
        <is>
          <t>https://www.topuniversities.com/world-university-rankings (QS WUR 2027)
https://www.timeshighereducation.com/world-university-rankings/2027/world-ranking
https://vnur.vn/bang-xep-hang-top-100-truong-dai-hoc-viet-nam-nam-2026</t>
        </is>
      </c>
      <c r="P1230" s="4" t="inlineStr">
        <is>
          <t>Место в VNUR-2026 (Top 100; независимый национальный рейтинг вузов Вьетнама, не государственный).</t>
        </is>
      </c>
    </row>
    <row r="1231">
      <c r="A1231" s="3" t="inlineStr">
        <is>
          <t>Vietnam|Vietnam National University, Ho Chi Minh City</t>
        </is>
      </c>
      <c r="B1231" s="3" t="inlineStr">
        <is>
          <t>Vietnam</t>
        </is>
      </c>
      <c r="C1231" s="3" t="inlineStr">
        <is>
          <t>Хошимин</t>
        </is>
      </c>
      <c r="D1231" s="3" t="inlineStr">
        <is>
          <t>Vietnam National University, Ho Chi Minh City</t>
        </is>
      </c>
      <c r="E1231" s="3" t="inlineStr">
        <is>
          <t>Đại học Quốc gia Thành phố Hồ Chí Minh</t>
        </is>
      </c>
      <c r="F1231" s="3" t="inlineStr">
        <is>
          <t>https://vnuhcm.edu.vn</t>
        </is>
      </c>
      <c r="G1231" s="3" t="inlineStr">
        <is>
          <t>QS2027: 801-850</t>
        </is>
      </c>
      <c r="H1231" s="3" t="inlineStr">
        <is>
          <t>THE2027: 1801–2000</t>
        </is>
      </c>
      <c r="I1231" s="3" t="inlineStr"/>
      <c r="J1231" s="4" t="inlineStr">
        <is>
          <t>801–850</t>
        </is>
      </c>
      <c r="K1231" s="4" t="inlineStr">
        <is>
          <t>1801–2000</t>
        </is>
      </c>
      <c r="L1231" s="4" t="inlineStr">
        <is>
          <t>1717</t>
        </is>
      </c>
      <c r="M1231" s="4" t="inlineStr">
        <is>
          <t>VNUR — Bảng xếp hạng Top 100 trường đại học Việt Nam, 2026</t>
        </is>
      </c>
      <c r="N1231" s="4" t="inlineStr">
        <is>
          <t>2</t>
        </is>
      </c>
      <c r="O1231" s="4" t="inlineStr">
        <is>
          <t>https://www.topuniversities.com/world-university-rankings (QS WUR 2027)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P1231" s="4" t="inlineStr">
        <is>
          <t>QS: в таблице как «Viet Nam National University Ho Chi Minh City (VNU-HCM)»; Место в VNUR-2026 (Top 100; независимый национальный рейтинг вузов Вьетнама, не государственный).</t>
        </is>
      </c>
    </row>
  </sheetData>
  <autoFilter ref="A1:P1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80" customWidth="1" min="3" max="3"/>
    <col width="70" customWidth="1" min="4" max="4"/>
  </cols>
  <sheetData>
    <row r="1">
      <c r="A1" s="5" t="inlineStr">
        <is>
          <t>Рейтинг</t>
        </is>
      </c>
      <c r="B1" s="5" t="inlineStr">
        <is>
          <t>Издание</t>
        </is>
      </c>
      <c r="C1" s="5" t="inlineStr">
        <is>
          <t>Охват / как сопоставлено</t>
        </is>
      </c>
      <c r="D1" s="5" t="inlineStr">
        <is>
          <t>URL</t>
        </is>
      </c>
    </row>
    <row r="2">
      <c r="A2" t="inlineStr">
        <is>
          <t>QS World University Rankings</t>
        </is>
      </c>
      <c r="B2" t="inlineStr">
        <is>
          <t>2027</t>
        </is>
      </c>
      <c r="C2" t="inlineStr">
        <is>
          <t>Полная таблица, 1 504 вуза (выгружена со страницы рейтинга). Сопоставление по названию; «=» — разделённое место.</t>
        </is>
      </c>
      <c r="D2" t="inlineStr">
        <is>
          <t>https://www.topuniversities.com/world-university-rankings (QS WUR 2027)</t>
        </is>
      </c>
    </row>
    <row r="3">
      <c r="A3" t="inlineStr">
        <is>
          <t>THE World University Rankings</t>
        </is>
      </c>
      <c r="B3" t="inlineStr">
        <is>
          <t>2027</t>
        </is>
      </c>
      <c r="C3" t="inlineStr">
        <is>
          <t>Полная таблица, 3 146 записей, включая статус Reporter.</t>
        </is>
      </c>
      <c r="D3" t="inlineStr">
        <is>
          <t>https://www.timeshighereducation.com/world-university-rankings/2027/world-ranking</t>
        </is>
      </c>
    </row>
    <row r="4">
      <c r="A4" t="inlineStr">
        <is>
          <t>Webometrics (Ranking Web of Universities)</t>
        </is>
      </c>
      <c r="B4" t="inlineStr">
        <is>
          <t>июль 2026</t>
        </is>
      </c>
      <c r="C4" t="inlineStr">
        <is>
          <t>webometrics.info недоступен; издание опубликовано на Figshare как PDF только с топ-15 вузов каждой страны. Вузы вне этого списка помечены «нет в опубл. списке» — это НЕ означает «не в рейтинге». Сопоставление по домену сайта.</t>
        </is>
      </c>
      <c r="D4" t="inlineStr">
        <is>
          <t>https://figshare.com/articles/preprint/Ranking_Web_of_Universities_webometrics_info_July_2026_edition/33062150</t>
        </is>
      </c>
    </row>
    <row r="5">
      <c r="A5" t="inlineStr">
        <is>
          <t>BCUR / ShanghaiRanking 中国大学排名</t>
        </is>
      </c>
      <c r="B5" t="inlineStr">
        <is>
          <t>2026</t>
        </is>
      </c>
      <c r="C5" t="inlineStr">
        <is>
          <t>590 вузов материкового Китая.</t>
        </is>
      </c>
      <c r="D5" t="inlineStr">
        <is>
          <t>https://www.shanghairanking.cn/rankings/bcur/2026</t>
        </is>
      </c>
    </row>
    <row r="6">
      <c r="A6" t="inlineStr">
        <is>
          <t>NIRF (Индия)</t>
        </is>
      </c>
      <c r="B6" t="inlineStr">
        <is>
          <t>2025</t>
        </is>
      </c>
      <c r="C6" t="inlineStr">
        <is>
          <t>Все категории (Overall, University, Engineering, …), включая диапазоны 101–300; в N — место в Overall, если есть, иначе в первой подходящей категории; остальные категории в P. NIRF 2026 на сайте пока нет.</t>
        </is>
      </c>
      <c r="D6" t="inlineStr">
        <is>
          <t>https://www.nirfindia.org/Rankings/2025/Ranking.html</t>
        </is>
      </c>
    </row>
    <row r="7">
      <c r="A7" t="inlineStr">
        <is>
          <t>RAEX-100 (Россия)</t>
        </is>
      </c>
      <c r="B7" t="inlineStr">
        <is>
          <t>2026</t>
        </is>
      </c>
      <c r="C7" t="inlineStr">
        <is>
          <t>Топ-100 вузов России.</t>
        </is>
      </c>
      <c r="D7" t="inlineStr">
        <is>
          <t>https://raex-rr.com/education/russian_universities/top-100_universities/2026/</t>
        </is>
      </c>
    </row>
    <row r="8">
      <c r="A8" t="inlineStr">
        <is>
          <t>МосМУР «Три миссии университета»</t>
        </is>
      </c>
      <c r="B8" t="inlineStr">
        <is>
          <t>2025</t>
        </is>
      </c>
      <c r="C8" t="inlineStr">
        <is>
          <t>Мировой рейтинг; для российских вузов вне RAEX-100 указано место в мире.</t>
        </is>
      </c>
      <c r="D8" t="inlineStr">
        <is>
          <t>https://mosiur.org/ranking/</t>
        </is>
      </c>
    </row>
    <row r="9">
      <c r="A9" t="inlineStr">
        <is>
          <t>RUF — Ranking Universitário Folha (Бразилия)</t>
        </is>
      </c>
      <c r="B9" t="inlineStr">
        <is>
          <t>2025</t>
        </is>
      </c>
      <c r="C9" t="inlineStr">
        <is>
          <t>204 университета; RUF 2026 закрыт (401). Федеральные институты (IF) и CEFET в основной таблице не ранжируются.</t>
        </is>
      </c>
      <c r="D9" t="inlineStr">
        <is>
          <t>https://ruf.folha.uol.com.br/2025/ranking-de-universidades/principal/</t>
        </is>
      </c>
    </row>
    <row r="10">
      <c r="A10" t="inlineStr">
        <is>
          <t>ISC University Ranking (Иран)</t>
        </is>
      </c>
      <c r="B10" t="inlineStr">
        <is>
          <t>1403</t>
        </is>
      </c>
      <c r="C10" t="inlineStr">
        <is>
          <t>Таблицы ISC (комплексные, технические, ведомственные, аграрные, негосударственные); 1404 пока без данных.</t>
        </is>
      </c>
      <c r="D10" t="inlineStr">
        <is>
          <t>https://ur.isc.ac/fa/Home/RankHome</t>
        </is>
      </c>
    </row>
    <row r="11">
      <c r="A11" t="inlineStr">
        <is>
          <t>SINTA Affiliations (Индонезия)</t>
        </is>
      </c>
      <c r="B11" t="inlineStr">
        <is>
          <t>2026</t>
        </is>
      </c>
      <c r="C11" t="inlineStr">
        <is>
          <t>Сайт не показывает нац. место; указана позиция в списке по SINTA Score 3Yr (5 579 организаций).</t>
        </is>
      </c>
      <c r="D11" t="inlineStr">
        <is>
          <t>https://sinta.kemdiktisaintek.go.id/affiliations</t>
        </is>
      </c>
    </row>
    <row r="12">
      <c r="A12" t="inlineStr">
        <is>
          <t>IAAR TOP-20 / IQAA-Ranking (Казахстан)</t>
        </is>
      </c>
      <c r="B12" t="inlineStr">
        <is>
          <t>2026</t>
        </is>
      </c>
      <c r="C12" t="inlineStr">
        <is>
          <t>IAAR General TOP-20 (места делятся); при отсутствии — IQAA-Ranking (место внутри категории).</t>
        </is>
      </c>
      <c r="D12" t="inlineStr">
        <is>
          <t>https://iaar.agency ; https://iqaa-ranking.kz</t>
        </is>
      </c>
    </row>
    <row r="13">
      <c r="A13" t="inlineStr">
        <is>
          <t>Национальный рейтинг гос. вузов (Узбекистан, Минвуз)</t>
        </is>
      </c>
      <c r="B13" t="inlineStr">
        <is>
          <t>2023 (данные 2022)</t>
        </is>
      </c>
      <c r="C13" t="inlineStr">
        <is>
          <t>76 государственных вузов; новый рейтинг ожидается к 1.11.2026.</t>
        </is>
      </c>
      <c r="D13" t="inlineStr">
        <is>
          <t>https://devedu.uz/2314/</t>
        </is>
      </c>
    </row>
    <row r="14">
      <c r="A14" t="inlineStr">
        <is>
          <t>VNUR (Вьетнам)</t>
        </is>
      </c>
      <c r="B14" t="inlineStr">
        <is>
          <t>2026</t>
        </is>
      </c>
      <c r="C14" t="inlineStr">
        <is>
          <t>Независимый национальный рейтинг (VEINDEX), опубликован Топ-100.</t>
        </is>
      </c>
      <c r="D14" t="inlineStr">
        <is>
          <t>https://vnur.vn/bang-xep-hang-top-100-truong-dai-hoc-viet-nam-nam-2026</t>
        </is>
      </c>
    </row>
    <row r="15">
      <c r="A15" t="inlineStr">
        <is>
          <t>Остальные страны</t>
        </is>
      </c>
      <c r="B15" t="inlineStr">
        <is>
          <t>—</t>
        </is>
      </c>
      <c r="C15" t="inlineStr">
        <is>
          <t>Беларусь, Таиланд, Малайзия (SETARA — только уровни/звёзды), Египет, ЮАР, Саудовская Аравия, ОАЭ, Эфиопия, Нигерия, Уганда, Куба, Боливия: общенационального рейтинга с местами не найдено — в N «—».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2026-10-05T01:50:18Z</dcterms:created>
  <dcterms:modified xmlns:dcterms="http://purl.org/dc/terms/" xmlns:xsi="http://www.w3.org/2001/XMLSchema-instance" xsi:type="dcterms:W3CDTF">2026-10-05T02:26:04Z</dcterms:modified>
</cp:coreProperties>
</file>